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812"/>
  <workbookPr/>
  <mc:AlternateContent xmlns:mc="http://schemas.openxmlformats.org/markup-compatibility/2006">
    <mc:Choice Requires="x15">
      <x15ac:absPath xmlns:x15ac="http://schemas.microsoft.com/office/spreadsheetml/2010/11/ac" url="/Users/lies/Documents/Bachelorproef/Measurement_Results/TEM/"/>
    </mc:Choice>
  </mc:AlternateContent>
  <bookViews>
    <workbookView xWindow="80" yWindow="0" windowWidth="28720" windowHeight="18000" tabRatio="500"/>
  </bookViews>
  <sheets>
    <sheet name="Sheet1" sheetId="1" r:id="rId1"/>
  </sheets>
  <definedNames>
    <definedName name="_xlnm._FilterDatabase" localSheetId="0" hidden="1">Sheet1!$A$1:$J$1</definedName>
  </definedNames>
  <calcPr calcId="15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J8" i="1" l="1"/>
  <c r="J12" i="1"/>
  <c r="J10" i="1"/>
  <c r="J6" i="1"/>
  <c r="J111" i="1"/>
</calcChain>
</file>

<file path=xl/sharedStrings.xml><?xml version="1.0" encoding="utf-8"?>
<sst xmlns="http://schemas.openxmlformats.org/spreadsheetml/2006/main" count="5" uniqueCount="5">
  <si>
    <t>Total av:</t>
  </si>
  <si>
    <t>Average</t>
  </si>
  <si>
    <t>STDV</t>
  </si>
  <si>
    <t>Err_m</t>
  </si>
  <si>
    <t>Num of entries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</si>
</sst>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4" fontId="0" fillId="0" borderId="0" xfId="0" applyNumberFormat="1" applyAlignment="1"/>
    <xf numFmtId="164" fontId="0" fillId="2" borderId="0" xfId="0" applyNumberFormat="1" applyFill="1" applyAlignment="1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2"/>
  <sheetViews>
    <sheetView tabSelected="1" zoomScale="112" zoomScaleNormal="40" zoomScalePageLayoutView="40" workbookViewId="0">
      <selection activeCell="J44" sqref="J44"/>
    </sheetView>
  </sheetViews>
  <sheetFormatPr baseColWidth="10" defaultRowHeight="16" x14ac:dyDescent="0.2"/>
  <cols>
    <col min="1" max="1" width="9.83203125" style="1" customWidth="1"/>
    <col min="2" max="16384" width="10.83203125" style="1"/>
  </cols>
  <sheetData>
    <row r="1" spans="1:12" customFormat="1" x14ac:dyDescent="0.2"/>
    <row r="2" spans="1:12" x14ac:dyDescent="0.2">
      <c r="A2" s="2">
        <v>49.954999999999998</v>
      </c>
      <c r="B2" s="2">
        <v>45.426000000000002</v>
      </c>
      <c r="C2" s="2">
        <v>53.795999999999999</v>
      </c>
      <c r="D2" s="2">
        <v>54.228000000000002</v>
      </c>
      <c r="E2" s="2">
        <v>44.963999999999999</v>
      </c>
      <c r="F2" s="2">
        <v>58.179000000000002</v>
      </c>
      <c r="G2" s="2">
        <v>38.369</v>
      </c>
      <c r="H2" s="2">
        <v>49.595999999999997</v>
      </c>
      <c r="L2" s="2">
        <v>49.954999999999998</v>
      </c>
    </row>
    <row r="3" spans="1:12" x14ac:dyDescent="0.2">
      <c r="A3" s="2">
        <v>45.970999999999997</v>
      </c>
      <c r="B3" s="2">
        <v>55.756</v>
      </c>
      <c r="C3" s="2">
        <v>43.253999999999998</v>
      </c>
      <c r="D3" s="2">
        <v>48.847999999999999</v>
      </c>
      <c r="E3" s="2"/>
      <c r="F3" s="2">
        <v>47.186999999999998</v>
      </c>
      <c r="G3" s="2">
        <v>39.018999999999998</v>
      </c>
      <c r="H3" s="2">
        <v>53.533000000000001</v>
      </c>
      <c r="L3" s="2">
        <v>45.970999999999997</v>
      </c>
    </row>
    <row r="4" spans="1:12" x14ac:dyDescent="0.2">
      <c r="A4" s="2">
        <v>41.414000000000001</v>
      </c>
      <c r="B4" s="2">
        <v>50.89</v>
      </c>
      <c r="C4" s="2">
        <v>43.154000000000003</v>
      </c>
      <c r="D4" s="2">
        <v>55.046999999999997</v>
      </c>
      <c r="E4" s="2">
        <v>46.149000000000001</v>
      </c>
      <c r="F4" s="2">
        <v>42.725999999999999</v>
      </c>
      <c r="G4" s="2"/>
      <c r="H4" s="2">
        <v>56.64</v>
      </c>
      <c r="L4" s="2">
        <v>41.414000000000001</v>
      </c>
    </row>
    <row r="5" spans="1:12" x14ac:dyDescent="0.2">
      <c r="A5" s="2"/>
      <c r="B5" s="2">
        <v>54.543999999999997</v>
      </c>
      <c r="C5" s="2">
        <v>50.841999999999999</v>
      </c>
      <c r="D5" s="2">
        <v>48.570999999999998</v>
      </c>
      <c r="E5" s="2">
        <v>48.558</v>
      </c>
      <c r="F5" s="2">
        <v>54.722999999999999</v>
      </c>
      <c r="G5" s="2">
        <v>53.292000000000002</v>
      </c>
      <c r="H5" s="2">
        <v>61.44</v>
      </c>
      <c r="J5" s="1" t="s">
        <v>1</v>
      </c>
      <c r="L5" s="2">
        <v>45.426000000000002</v>
      </c>
    </row>
    <row r="6" spans="1:12" x14ac:dyDescent="0.2">
      <c r="A6" s="2"/>
      <c r="B6" s="2">
        <v>50.962000000000003</v>
      </c>
      <c r="C6" s="2">
        <v>54.182000000000002</v>
      </c>
      <c r="D6" s="2">
        <v>48.100999999999999</v>
      </c>
      <c r="E6" s="2">
        <v>38.225000000000001</v>
      </c>
      <c r="F6" s="2">
        <v>46.835000000000001</v>
      </c>
      <c r="G6" s="2">
        <v>53.920999999999999</v>
      </c>
      <c r="H6" s="2">
        <v>43.253999999999998</v>
      </c>
      <c r="J6" s="1">
        <f>AVERAGE(A2:H109)</f>
        <v>49.2916809045226</v>
      </c>
      <c r="L6" s="2">
        <v>55.756</v>
      </c>
    </row>
    <row r="7" spans="1:12" x14ac:dyDescent="0.2">
      <c r="A7" s="2"/>
      <c r="B7" s="2">
        <v>42.350999999999999</v>
      </c>
      <c r="C7" s="2">
        <v>51.631999999999998</v>
      </c>
      <c r="D7" s="2"/>
      <c r="E7" s="2"/>
      <c r="F7" s="3"/>
      <c r="G7" s="2">
        <v>51.429000000000002</v>
      </c>
      <c r="H7" s="2">
        <v>48.671999999999997</v>
      </c>
      <c r="J7" s="1" t="s">
        <v>2</v>
      </c>
      <c r="L7" s="2">
        <v>50.89</v>
      </c>
    </row>
    <row r="8" spans="1:12" x14ac:dyDescent="0.2">
      <c r="A8" s="2"/>
      <c r="B8" s="2">
        <v>50.259</v>
      </c>
      <c r="C8" s="2">
        <v>51.548999999999999</v>
      </c>
      <c r="D8" s="2">
        <v>47.756</v>
      </c>
      <c r="E8" s="3"/>
      <c r="F8" s="3"/>
      <c r="G8" s="2">
        <v>44.11</v>
      </c>
      <c r="H8" s="2"/>
      <c r="J8" s="1">
        <f>STDEV(A2:H109)</f>
        <v>5.3037908534192946</v>
      </c>
      <c r="L8" s="2">
        <v>54.543999999999997</v>
      </c>
    </row>
    <row r="9" spans="1:12" x14ac:dyDescent="0.2">
      <c r="A9" s="2"/>
      <c r="B9" s="2">
        <v>46.427</v>
      </c>
      <c r="C9" s="2">
        <v>56.790999999999997</v>
      </c>
      <c r="D9" s="2">
        <v>37.414000000000001</v>
      </c>
      <c r="E9" s="2"/>
      <c r="F9" s="2">
        <v>52.058</v>
      </c>
      <c r="G9" s="2">
        <v>55.213999999999999</v>
      </c>
      <c r="H9" s="2"/>
      <c r="J9" s="1" t="s">
        <v>3</v>
      </c>
      <c r="L9" s="2">
        <v>50.962000000000003</v>
      </c>
    </row>
    <row r="10" spans="1:12" x14ac:dyDescent="0.2">
      <c r="A10" s="2"/>
      <c r="B10" s="2">
        <v>47.55</v>
      </c>
      <c r="C10" s="2">
        <v>45.829000000000001</v>
      </c>
      <c r="D10" s="2">
        <v>46.374000000000002</v>
      </c>
      <c r="E10" s="2">
        <v>51.453000000000003</v>
      </c>
      <c r="F10" s="2">
        <v>45.869</v>
      </c>
      <c r="G10" s="2">
        <v>50.417999999999999</v>
      </c>
      <c r="H10" s="2">
        <v>51.19</v>
      </c>
      <c r="J10" s="1">
        <f>J8/SQRT(J12)</f>
        <v>0.26585501308409654</v>
      </c>
      <c r="L10" s="2">
        <v>42.350999999999999</v>
      </c>
    </row>
    <row r="11" spans="1:12" x14ac:dyDescent="0.2">
      <c r="A11" s="2"/>
      <c r="B11" s="2">
        <v>41.561</v>
      </c>
      <c r="C11" s="2">
        <v>50.234999999999999</v>
      </c>
      <c r="D11" s="2">
        <v>37.642000000000003</v>
      </c>
      <c r="E11" s="2"/>
      <c r="F11" s="2">
        <v>47.923000000000002</v>
      </c>
      <c r="G11" s="2">
        <v>49.447000000000003</v>
      </c>
      <c r="H11" s="2">
        <v>52.539000000000001</v>
      </c>
      <c r="J11" s="1" t="s">
        <v>4</v>
      </c>
      <c r="L11" s="2">
        <v>50.259</v>
      </c>
    </row>
    <row r="12" spans="1:12" x14ac:dyDescent="0.2">
      <c r="A12" s="2"/>
      <c r="B12" s="2">
        <v>40.756</v>
      </c>
      <c r="C12" s="2">
        <v>55.247</v>
      </c>
      <c r="D12" s="2">
        <v>48.671999999999997</v>
      </c>
      <c r="E12" s="2">
        <v>58.796999999999997</v>
      </c>
      <c r="F12" s="2">
        <v>51.927999999999997</v>
      </c>
      <c r="G12" s="2">
        <v>52.246000000000002</v>
      </c>
      <c r="H12" s="2">
        <v>57.115000000000002</v>
      </c>
      <c r="J12" s="1">
        <f>COUNTIF(A2:H109,"&lt;100")</f>
        <v>398</v>
      </c>
      <c r="L12" s="2">
        <v>46.427</v>
      </c>
    </row>
    <row r="13" spans="1:12" x14ac:dyDescent="0.2">
      <c r="A13" s="2"/>
      <c r="B13" s="2">
        <v>58.609000000000002</v>
      </c>
      <c r="C13" s="2">
        <v>48.860999999999997</v>
      </c>
      <c r="D13" s="2"/>
      <c r="E13" s="2"/>
      <c r="F13" s="2">
        <v>47.408000000000001</v>
      </c>
      <c r="G13" s="2">
        <v>44.484000000000002</v>
      </c>
      <c r="H13" s="2">
        <v>47.679000000000002</v>
      </c>
      <c r="L13" s="2">
        <v>47.55</v>
      </c>
    </row>
    <row r="14" spans="1:12" x14ac:dyDescent="0.2">
      <c r="A14" s="2"/>
      <c r="B14" s="2">
        <v>36.518000000000001</v>
      </c>
      <c r="C14" s="2"/>
      <c r="D14" s="2">
        <v>52.491999999999997</v>
      </c>
      <c r="E14" s="2">
        <v>43.970999999999997</v>
      </c>
      <c r="F14" s="2">
        <v>58.744999999999997</v>
      </c>
      <c r="G14" s="2">
        <v>50.938000000000002</v>
      </c>
      <c r="H14" s="2">
        <v>49.323</v>
      </c>
      <c r="L14" s="2">
        <v>41.561</v>
      </c>
    </row>
    <row r="15" spans="1:12" x14ac:dyDescent="0.2">
      <c r="A15" s="2"/>
      <c r="B15" s="2">
        <v>45.734999999999999</v>
      </c>
      <c r="C15" s="2">
        <v>38.591999999999999</v>
      </c>
      <c r="D15" s="2">
        <v>43.438000000000002</v>
      </c>
      <c r="E15" s="2">
        <v>54.991999999999997</v>
      </c>
      <c r="F15" s="2">
        <v>53.085000000000001</v>
      </c>
      <c r="G15" s="2"/>
      <c r="H15" s="2">
        <v>53.773000000000003</v>
      </c>
      <c r="L15" s="2">
        <v>40.756</v>
      </c>
    </row>
    <row r="16" spans="1:12" x14ac:dyDescent="0.2">
      <c r="A16" s="2"/>
      <c r="B16" s="2"/>
      <c r="C16" s="2">
        <v>56.03</v>
      </c>
      <c r="D16" s="2"/>
      <c r="E16" s="2">
        <v>40.575000000000003</v>
      </c>
      <c r="F16" s="2">
        <v>52.021999999999998</v>
      </c>
      <c r="G16" s="2">
        <v>46.991999999999997</v>
      </c>
      <c r="H16" s="2">
        <v>45.921999999999997</v>
      </c>
      <c r="L16" s="2">
        <v>58.609000000000002</v>
      </c>
    </row>
    <row r="17" spans="1:12" x14ac:dyDescent="0.2">
      <c r="A17" s="2"/>
      <c r="B17" s="2">
        <v>52.945999999999998</v>
      </c>
      <c r="C17" s="2">
        <v>50.902000000000001</v>
      </c>
      <c r="D17" s="2">
        <v>51.904000000000003</v>
      </c>
      <c r="E17" s="2">
        <v>41.781999999999996</v>
      </c>
      <c r="F17" s="2">
        <v>52.969000000000001</v>
      </c>
      <c r="G17" s="2">
        <v>53.99</v>
      </c>
      <c r="H17" s="2">
        <v>45.533000000000001</v>
      </c>
      <c r="L17" s="2">
        <v>36.518000000000001</v>
      </c>
    </row>
    <row r="18" spans="1:12" x14ac:dyDescent="0.2">
      <c r="A18" s="2"/>
      <c r="B18" s="2">
        <v>42.206000000000003</v>
      </c>
      <c r="C18" s="2">
        <v>44.249000000000002</v>
      </c>
      <c r="D18" s="2"/>
      <c r="E18" s="2">
        <v>36.618000000000002</v>
      </c>
      <c r="F18" s="2">
        <v>48.253999999999998</v>
      </c>
      <c r="G18" s="2">
        <v>53.073</v>
      </c>
      <c r="H18" s="2">
        <v>57.093000000000004</v>
      </c>
      <c r="L18" s="2">
        <v>45.734999999999999</v>
      </c>
    </row>
    <row r="19" spans="1:12" x14ac:dyDescent="0.2">
      <c r="A19" s="2"/>
      <c r="B19" s="2">
        <v>47.148000000000003</v>
      </c>
      <c r="C19" s="2">
        <v>36.600999999999999</v>
      </c>
      <c r="D19" s="2">
        <v>46.466999999999999</v>
      </c>
      <c r="E19" s="2">
        <v>40.665999999999997</v>
      </c>
      <c r="F19" s="2">
        <v>40.073</v>
      </c>
      <c r="G19" s="2">
        <v>47.665999999999997</v>
      </c>
      <c r="H19" s="2">
        <v>49.36</v>
      </c>
      <c r="L19" s="2">
        <v>52.945999999999998</v>
      </c>
    </row>
    <row r="20" spans="1:12" x14ac:dyDescent="0.2">
      <c r="A20" s="2"/>
      <c r="B20" s="2">
        <v>46.268000000000001</v>
      </c>
      <c r="C20" s="2">
        <v>52.398000000000003</v>
      </c>
      <c r="D20" s="2">
        <v>36.701999999999998</v>
      </c>
      <c r="E20" s="2">
        <v>48.494999999999997</v>
      </c>
      <c r="F20" s="2">
        <v>57.179000000000002</v>
      </c>
      <c r="G20" s="2">
        <v>45.546999999999997</v>
      </c>
      <c r="H20" s="2">
        <v>49.298000000000002</v>
      </c>
      <c r="L20" s="2">
        <v>42.206000000000003</v>
      </c>
    </row>
    <row r="21" spans="1:12" x14ac:dyDescent="0.2">
      <c r="A21" s="2"/>
      <c r="B21" s="2"/>
      <c r="C21" s="2">
        <v>44.374000000000002</v>
      </c>
      <c r="D21" s="2">
        <v>43.774999999999999</v>
      </c>
      <c r="E21" s="2">
        <v>54.734000000000002</v>
      </c>
      <c r="F21" s="2">
        <v>50.064</v>
      </c>
      <c r="G21" s="2">
        <v>39.316000000000003</v>
      </c>
      <c r="H21" s="2">
        <v>52.469000000000001</v>
      </c>
      <c r="L21" s="2">
        <v>47.148000000000003</v>
      </c>
    </row>
    <row r="22" spans="1:12" x14ac:dyDescent="0.2">
      <c r="A22" s="2"/>
      <c r="B22" s="2">
        <v>48.076000000000001</v>
      </c>
      <c r="C22" s="2">
        <v>48.570999999999998</v>
      </c>
      <c r="D22" s="2">
        <v>50.732999999999997</v>
      </c>
      <c r="E22" s="2">
        <v>50.973999999999997</v>
      </c>
      <c r="F22" s="2">
        <v>53.073</v>
      </c>
      <c r="G22" s="2">
        <v>49.682000000000002</v>
      </c>
      <c r="H22" s="2">
        <v>52.899000000000001</v>
      </c>
      <c r="L22" s="2">
        <v>46.268000000000001</v>
      </c>
    </row>
    <row r="23" spans="1:12" x14ac:dyDescent="0.2">
      <c r="A23" s="2"/>
      <c r="B23" s="2">
        <v>44.067999999999998</v>
      </c>
      <c r="C23" s="2">
        <v>59.491999999999997</v>
      </c>
      <c r="D23" s="2"/>
      <c r="E23" s="2"/>
      <c r="F23" s="2">
        <v>47.408000000000001</v>
      </c>
      <c r="G23" s="2">
        <v>46.466999999999999</v>
      </c>
      <c r="H23" s="2">
        <v>52.07</v>
      </c>
      <c r="L23" s="2">
        <v>48.076000000000001</v>
      </c>
    </row>
    <row r="24" spans="1:12" x14ac:dyDescent="0.2">
      <c r="A24" s="2"/>
      <c r="B24" s="2">
        <v>51.142000000000003</v>
      </c>
      <c r="C24" s="2">
        <v>43.323999999999998</v>
      </c>
      <c r="D24" s="2">
        <v>42.494999999999997</v>
      </c>
      <c r="E24" s="2">
        <v>55.722999999999999</v>
      </c>
      <c r="F24" s="2">
        <v>51.822000000000003</v>
      </c>
      <c r="G24" s="2">
        <v>47.408000000000001</v>
      </c>
      <c r="H24" s="2">
        <v>48.972999999999999</v>
      </c>
      <c r="L24" s="2">
        <v>44.067999999999998</v>
      </c>
    </row>
    <row r="25" spans="1:12" x14ac:dyDescent="0.2">
      <c r="A25" s="2"/>
      <c r="B25" s="2">
        <v>49.533999999999999</v>
      </c>
      <c r="C25" s="2">
        <v>37.167000000000002</v>
      </c>
      <c r="D25" s="2">
        <v>57.680999999999997</v>
      </c>
      <c r="E25" s="2">
        <v>42.438000000000002</v>
      </c>
      <c r="F25" s="2">
        <v>50.173999999999999</v>
      </c>
      <c r="G25" s="2">
        <v>50.393000000000001</v>
      </c>
      <c r="H25" s="2">
        <v>52.198999999999998</v>
      </c>
      <c r="L25" s="2">
        <v>51.142000000000003</v>
      </c>
    </row>
    <row r="26" spans="1:12" x14ac:dyDescent="0.2">
      <c r="A26" s="2"/>
      <c r="B26" s="2">
        <v>51.893000000000001</v>
      </c>
      <c r="C26" s="2">
        <v>53.567999999999998</v>
      </c>
      <c r="D26" s="2">
        <v>46.466999999999999</v>
      </c>
      <c r="E26" s="2"/>
      <c r="F26" s="2">
        <v>52.597000000000001</v>
      </c>
      <c r="G26" s="2">
        <v>55.613</v>
      </c>
      <c r="H26" s="2">
        <v>50.914000000000001</v>
      </c>
      <c r="L26" s="2">
        <v>49.533999999999999</v>
      </c>
    </row>
    <row r="27" spans="1:12" x14ac:dyDescent="0.2">
      <c r="A27" s="2"/>
      <c r="B27" s="2">
        <v>49.161000000000001</v>
      </c>
      <c r="C27" s="2">
        <v>47.186999999999998</v>
      </c>
      <c r="D27" s="2">
        <v>51.893000000000001</v>
      </c>
      <c r="E27" s="2">
        <v>54.756999999999998</v>
      </c>
      <c r="F27" s="2">
        <v>55.259</v>
      </c>
      <c r="G27" s="2">
        <v>48.76</v>
      </c>
      <c r="H27" s="2">
        <v>56.03</v>
      </c>
      <c r="L27" s="2">
        <v>51.893000000000001</v>
      </c>
    </row>
    <row r="28" spans="1:12" x14ac:dyDescent="0.2">
      <c r="A28" s="2"/>
      <c r="B28" s="2">
        <v>47.030999999999999</v>
      </c>
      <c r="C28" s="2">
        <v>50.088000000000001</v>
      </c>
      <c r="D28" s="2"/>
      <c r="E28" s="2">
        <v>43.984999999999999</v>
      </c>
      <c r="F28" s="2">
        <v>59.883000000000003</v>
      </c>
      <c r="G28" s="2">
        <v>53.35</v>
      </c>
      <c r="H28" s="2">
        <v>54.98</v>
      </c>
      <c r="L28" s="2">
        <v>49.161000000000001</v>
      </c>
    </row>
    <row r="29" spans="1:12" x14ac:dyDescent="0.2">
      <c r="A29" s="2"/>
      <c r="B29" s="2">
        <v>46.847999999999999</v>
      </c>
      <c r="C29" s="2">
        <v>53.418999999999997</v>
      </c>
      <c r="D29" s="2">
        <v>54.442</v>
      </c>
      <c r="E29" s="2">
        <v>42.74</v>
      </c>
      <c r="F29" s="2">
        <v>37.067999999999998</v>
      </c>
      <c r="G29" s="2">
        <v>42.206000000000003</v>
      </c>
      <c r="H29" s="2">
        <v>56.694000000000003</v>
      </c>
      <c r="L29" s="2">
        <v>47.030999999999999</v>
      </c>
    </row>
    <row r="30" spans="1:12" x14ac:dyDescent="0.2">
      <c r="A30" s="2"/>
      <c r="B30" s="2">
        <v>43.649000000000001</v>
      </c>
      <c r="C30" s="2">
        <v>48.508000000000003</v>
      </c>
      <c r="D30" s="2">
        <v>49.161000000000001</v>
      </c>
      <c r="E30" s="2">
        <v>42.451999999999998</v>
      </c>
      <c r="F30" s="2">
        <v>54.610999999999997</v>
      </c>
      <c r="G30" s="2">
        <v>55.734000000000002</v>
      </c>
      <c r="H30" s="2">
        <v>51.465000000000003</v>
      </c>
      <c r="L30" s="2">
        <v>46.847999999999999</v>
      </c>
    </row>
    <row r="31" spans="1:12" x14ac:dyDescent="0.2">
      <c r="A31" s="2"/>
      <c r="B31" s="2"/>
      <c r="C31" s="2">
        <v>54.869</v>
      </c>
      <c r="D31" s="2"/>
      <c r="E31" s="2">
        <v>54.148000000000003</v>
      </c>
      <c r="F31" s="2">
        <v>43.55</v>
      </c>
      <c r="G31" s="2"/>
      <c r="H31" s="2">
        <v>47.973999999999997</v>
      </c>
      <c r="L31" s="2">
        <v>43.649000000000001</v>
      </c>
    </row>
    <row r="32" spans="1:12" x14ac:dyDescent="0.2">
      <c r="A32" s="2"/>
      <c r="B32" s="2">
        <v>43.225000000000001</v>
      </c>
      <c r="C32" s="2">
        <v>45.031999999999996</v>
      </c>
      <c r="D32" s="2"/>
      <c r="E32" s="2">
        <v>43.732999999999997</v>
      </c>
      <c r="F32" s="2">
        <v>52.98</v>
      </c>
      <c r="G32" s="2">
        <v>54.283999999999999</v>
      </c>
      <c r="H32" s="2">
        <v>49.707000000000001</v>
      </c>
      <c r="L32" s="2">
        <v>43.225000000000001</v>
      </c>
    </row>
    <row r="33" spans="1:12" x14ac:dyDescent="0.2">
      <c r="A33" s="2"/>
      <c r="B33" s="2">
        <v>43.183</v>
      </c>
      <c r="C33" s="2">
        <v>47.960999999999999</v>
      </c>
      <c r="D33" s="2">
        <v>41.100999999999999</v>
      </c>
      <c r="E33" s="2">
        <v>53.061</v>
      </c>
      <c r="F33" s="2">
        <v>54.16</v>
      </c>
      <c r="G33" s="2">
        <v>50.926000000000002</v>
      </c>
      <c r="H33" s="2">
        <v>47.497999999999998</v>
      </c>
      <c r="L33" s="2">
        <v>43.183</v>
      </c>
    </row>
    <row r="34" spans="1:12" x14ac:dyDescent="0.2">
      <c r="A34" s="2"/>
      <c r="B34" s="2">
        <v>53.99</v>
      </c>
      <c r="C34" s="2">
        <v>51.822000000000003</v>
      </c>
      <c r="D34" s="2">
        <v>42.494999999999997</v>
      </c>
      <c r="E34" s="2">
        <v>37.167000000000002</v>
      </c>
      <c r="F34" s="2">
        <v>48.773000000000003</v>
      </c>
      <c r="G34" s="2">
        <v>59.213000000000001</v>
      </c>
      <c r="H34" s="2">
        <v>47.768999999999998</v>
      </c>
      <c r="L34" s="2">
        <v>53.99</v>
      </c>
    </row>
    <row r="35" spans="1:12" x14ac:dyDescent="0.2">
      <c r="A35" s="2"/>
      <c r="B35" s="2">
        <v>50.95</v>
      </c>
      <c r="C35" s="2">
        <v>43.774999999999999</v>
      </c>
      <c r="D35" s="2"/>
      <c r="E35" s="2">
        <v>44.220999999999997</v>
      </c>
      <c r="F35" s="2">
        <v>50.308</v>
      </c>
      <c r="G35" s="2">
        <v>53.210999999999999</v>
      </c>
      <c r="H35" s="2">
        <v>53.027000000000001</v>
      </c>
      <c r="L35" s="2">
        <v>50.95</v>
      </c>
    </row>
    <row r="36" spans="1:12" x14ac:dyDescent="0.2">
      <c r="A36" s="2"/>
      <c r="B36" s="2">
        <v>53.966999999999999</v>
      </c>
      <c r="C36" s="2">
        <v>51.975000000000001</v>
      </c>
      <c r="D36" s="2">
        <v>46.082000000000001</v>
      </c>
      <c r="E36" s="2">
        <v>49.978000000000002</v>
      </c>
      <c r="F36" s="2">
        <v>55.469000000000001</v>
      </c>
      <c r="G36" s="2">
        <v>54.453000000000003</v>
      </c>
      <c r="H36" s="2">
        <v>51.856999999999999</v>
      </c>
      <c r="L36" s="2">
        <v>53.966999999999999</v>
      </c>
    </row>
    <row r="37" spans="1:12" x14ac:dyDescent="0.2">
      <c r="A37" s="2"/>
      <c r="B37" s="2">
        <v>51.441000000000003</v>
      </c>
      <c r="C37" s="2">
        <v>40.47</v>
      </c>
      <c r="D37" s="2">
        <v>53.591000000000001</v>
      </c>
      <c r="E37" s="2">
        <v>44.47</v>
      </c>
      <c r="F37" s="2">
        <v>52.585000000000001</v>
      </c>
      <c r="G37" s="2">
        <v>53.314999999999998</v>
      </c>
      <c r="H37" s="2"/>
      <c r="L37" s="2">
        <v>51.441000000000003</v>
      </c>
    </row>
    <row r="38" spans="1:12" x14ac:dyDescent="0.2">
      <c r="A38" s="2"/>
      <c r="B38" s="2">
        <v>51.536999999999999</v>
      </c>
      <c r="C38" s="2">
        <v>41.957999999999998</v>
      </c>
      <c r="D38" s="2">
        <v>48.100999999999999</v>
      </c>
      <c r="E38" s="2">
        <v>41.176000000000002</v>
      </c>
      <c r="F38" s="2">
        <v>46.215000000000003</v>
      </c>
      <c r="G38" s="2">
        <v>49.36</v>
      </c>
      <c r="H38" s="2">
        <v>53.061</v>
      </c>
      <c r="L38" s="2">
        <v>51.536999999999999</v>
      </c>
    </row>
    <row r="39" spans="1:12" x14ac:dyDescent="0.2">
      <c r="A39" s="2"/>
      <c r="B39" s="2">
        <v>56.835000000000001</v>
      </c>
      <c r="C39" s="2">
        <v>50.247</v>
      </c>
      <c r="D39" s="2"/>
      <c r="E39" s="2">
        <v>54.170999999999999</v>
      </c>
      <c r="F39" s="2">
        <v>44.963999999999999</v>
      </c>
      <c r="G39" s="2">
        <v>51.238</v>
      </c>
      <c r="H39" s="2">
        <v>48.872999999999998</v>
      </c>
      <c r="L39" s="2">
        <v>56.835000000000001</v>
      </c>
    </row>
    <row r="40" spans="1:12" x14ac:dyDescent="0.2">
      <c r="A40" s="2"/>
      <c r="B40" s="2">
        <v>47.588999999999999</v>
      </c>
      <c r="C40" s="2"/>
      <c r="D40" s="2">
        <v>54.667000000000002</v>
      </c>
      <c r="E40" s="2"/>
      <c r="F40" s="2">
        <v>53.164999999999999</v>
      </c>
      <c r="G40" s="2">
        <v>56.445</v>
      </c>
      <c r="H40" s="2">
        <v>52.69</v>
      </c>
      <c r="L40" s="2">
        <v>47.588999999999999</v>
      </c>
    </row>
    <row r="41" spans="1:12" x14ac:dyDescent="0.2">
      <c r="A41" s="2"/>
      <c r="B41" s="2">
        <v>45.48</v>
      </c>
      <c r="C41" s="2">
        <v>50.295999999999999</v>
      </c>
      <c r="D41" s="2">
        <v>55.767000000000003</v>
      </c>
      <c r="E41" s="2">
        <v>49.372999999999998</v>
      </c>
      <c r="F41" s="2">
        <v>42.997999999999998</v>
      </c>
      <c r="G41" s="2">
        <v>40.134999999999998</v>
      </c>
      <c r="H41" s="2">
        <v>50.503</v>
      </c>
      <c r="L41" s="2">
        <v>45.48</v>
      </c>
    </row>
    <row r="42" spans="1:12" x14ac:dyDescent="0.2">
      <c r="A42" s="2"/>
      <c r="B42" s="2">
        <v>57.125</v>
      </c>
      <c r="C42" s="2">
        <v>48.81</v>
      </c>
      <c r="D42" s="2">
        <v>53.280999999999999</v>
      </c>
      <c r="E42" s="2">
        <v>37.853999999999999</v>
      </c>
      <c r="F42" s="2">
        <v>58.241999999999997</v>
      </c>
      <c r="G42" s="2">
        <v>51.856999999999999</v>
      </c>
      <c r="H42" s="2">
        <v>52.421999999999997</v>
      </c>
      <c r="L42" s="2">
        <v>57.125</v>
      </c>
    </row>
    <row r="43" spans="1:12" x14ac:dyDescent="0.2">
      <c r="A43" s="2"/>
      <c r="B43" s="2">
        <v>50.064</v>
      </c>
      <c r="C43" s="2">
        <v>49.582999999999998</v>
      </c>
      <c r="D43" s="2"/>
      <c r="E43" s="2">
        <v>52.701999999999998</v>
      </c>
      <c r="F43" s="2">
        <v>39.981999999999999</v>
      </c>
      <c r="G43" s="2">
        <v>49.447000000000003</v>
      </c>
      <c r="H43" s="2">
        <v>47.122</v>
      </c>
      <c r="L43" s="2">
        <v>50.064</v>
      </c>
    </row>
    <row r="44" spans="1:12" x14ac:dyDescent="0.2">
      <c r="A44" s="2"/>
      <c r="B44" s="2"/>
      <c r="C44" s="2">
        <v>45.304000000000002</v>
      </c>
      <c r="D44" s="2"/>
      <c r="E44" s="2">
        <v>55.789000000000001</v>
      </c>
      <c r="F44" s="2">
        <v>54.228000000000002</v>
      </c>
      <c r="G44" s="2">
        <v>56.271000000000001</v>
      </c>
      <c r="H44" s="2">
        <v>47.793999999999997</v>
      </c>
      <c r="L44" s="2">
        <v>48.406999999999996</v>
      </c>
    </row>
    <row r="45" spans="1:12" x14ac:dyDescent="0.2">
      <c r="A45" s="2"/>
      <c r="B45" s="2">
        <v>48.406999999999996</v>
      </c>
      <c r="C45" s="2">
        <v>44.524999999999999</v>
      </c>
      <c r="D45" s="2">
        <v>43.167999999999999</v>
      </c>
      <c r="E45" s="2">
        <v>56.899000000000001</v>
      </c>
      <c r="F45" s="2">
        <v>48.697000000000003</v>
      </c>
      <c r="G45" s="2">
        <v>42.595999999999997</v>
      </c>
      <c r="H45" s="2">
        <v>53.808</v>
      </c>
      <c r="L45" s="2">
        <v>51.118000000000002</v>
      </c>
    </row>
    <row r="46" spans="1:12" x14ac:dyDescent="0.2">
      <c r="A46" s="2"/>
      <c r="B46" s="2">
        <v>51.118000000000002</v>
      </c>
      <c r="C46" s="2">
        <v>52.104999999999997</v>
      </c>
      <c r="D46" s="2">
        <v>41.62</v>
      </c>
      <c r="E46" s="2">
        <v>59.832000000000001</v>
      </c>
      <c r="F46" s="2">
        <v>60.22</v>
      </c>
      <c r="G46" s="2">
        <v>54.375</v>
      </c>
      <c r="H46" s="2">
        <v>49.941000000000003</v>
      </c>
      <c r="L46" s="2">
        <v>54.228000000000002</v>
      </c>
    </row>
    <row r="47" spans="1:12" x14ac:dyDescent="0.2">
      <c r="A47" s="2"/>
      <c r="B47" s="2"/>
      <c r="C47" s="2">
        <v>48.595999999999997</v>
      </c>
      <c r="D47" s="2">
        <v>51.762</v>
      </c>
      <c r="E47" s="2">
        <v>40.680999999999997</v>
      </c>
      <c r="F47" s="2">
        <v>51.81</v>
      </c>
      <c r="G47" s="2">
        <v>52.725000000000001</v>
      </c>
      <c r="H47" s="2">
        <v>54.465000000000003</v>
      </c>
      <c r="L47" s="2">
        <v>48.847999999999999</v>
      </c>
    </row>
    <row r="48" spans="1:12" x14ac:dyDescent="0.2">
      <c r="A48" s="2"/>
      <c r="B48" s="2"/>
      <c r="C48" s="2">
        <v>57.404000000000003</v>
      </c>
      <c r="D48" s="2">
        <v>48.936</v>
      </c>
      <c r="E48" s="2">
        <v>46.860999999999997</v>
      </c>
      <c r="F48" s="2">
        <v>55.347000000000001</v>
      </c>
      <c r="G48" s="2">
        <v>54.182000000000002</v>
      </c>
      <c r="H48" s="2">
        <v>53.579000000000001</v>
      </c>
      <c r="L48" s="2">
        <v>55.046999999999997</v>
      </c>
    </row>
    <row r="49" spans="1:12" x14ac:dyDescent="0.2">
      <c r="A49" s="2"/>
      <c r="B49" s="2"/>
      <c r="C49" s="2">
        <v>49.953000000000003</v>
      </c>
      <c r="D49" s="2">
        <v>36.701999999999998</v>
      </c>
      <c r="E49" s="2">
        <v>37.134</v>
      </c>
      <c r="F49" s="2">
        <v>50.002000000000002</v>
      </c>
      <c r="G49" s="2">
        <v>51.405999999999999</v>
      </c>
      <c r="H49" s="2">
        <v>56.271000000000001</v>
      </c>
      <c r="L49" s="2">
        <v>48.570999999999998</v>
      </c>
    </row>
    <row r="50" spans="1:12" x14ac:dyDescent="0.2">
      <c r="A50" s="2"/>
      <c r="B50" s="2"/>
      <c r="C50" s="2">
        <v>48.241999999999997</v>
      </c>
      <c r="D50" s="2">
        <v>54.566000000000003</v>
      </c>
      <c r="E50" s="2">
        <v>52.058</v>
      </c>
      <c r="F50" s="2">
        <v>57.5</v>
      </c>
      <c r="G50" s="2">
        <v>44.622</v>
      </c>
      <c r="H50" s="2">
        <v>40.5</v>
      </c>
      <c r="L50" s="2">
        <v>48.100999999999999</v>
      </c>
    </row>
    <row r="51" spans="1:12" x14ac:dyDescent="0.2">
      <c r="A51" s="2"/>
      <c r="B51" s="2"/>
      <c r="C51" s="2"/>
      <c r="D51" s="2">
        <v>55.491</v>
      </c>
      <c r="E51" s="2">
        <v>38.844999999999999</v>
      </c>
      <c r="F51" s="2">
        <v>43.774999999999999</v>
      </c>
      <c r="G51" s="2">
        <v>53.591000000000001</v>
      </c>
      <c r="H51" s="2">
        <v>50.002000000000002</v>
      </c>
      <c r="L51" s="2">
        <v>47.756</v>
      </c>
    </row>
    <row r="52" spans="1:12" x14ac:dyDescent="0.2">
      <c r="A52" s="2"/>
      <c r="B52" s="2"/>
      <c r="C52" s="2"/>
      <c r="D52" s="2">
        <v>58.136000000000003</v>
      </c>
      <c r="E52" s="2">
        <v>46.808999999999997</v>
      </c>
      <c r="F52" s="2">
        <v>49.904000000000003</v>
      </c>
      <c r="G52" s="2">
        <v>49.866999999999997</v>
      </c>
      <c r="H52" s="2">
        <v>53.015000000000001</v>
      </c>
      <c r="L52" s="2">
        <v>37.414000000000001</v>
      </c>
    </row>
    <row r="53" spans="1:12" x14ac:dyDescent="0.2">
      <c r="A53" s="2"/>
      <c r="B53" s="2"/>
      <c r="C53" s="2"/>
      <c r="D53" s="2">
        <v>40.5</v>
      </c>
      <c r="E53" s="2">
        <v>47.55</v>
      </c>
      <c r="F53" s="2">
        <v>38.972000000000001</v>
      </c>
      <c r="G53" s="2">
        <v>47.33</v>
      </c>
      <c r="H53" s="2">
        <v>44.649000000000001</v>
      </c>
      <c r="L53" s="2">
        <v>46.374000000000002</v>
      </c>
    </row>
    <row r="54" spans="1:12" x14ac:dyDescent="0.2">
      <c r="A54" s="2"/>
      <c r="B54" s="2"/>
      <c r="C54" s="2"/>
      <c r="D54" s="2">
        <v>38.607999999999997</v>
      </c>
      <c r="E54" s="2">
        <v>50.805</v>
      </c>
      <c r="F54" s="2">
        <v>50.369</v>
      </c>
      <c r="G54" s="2">
        <v>49.744</v>
      </c>
      <c r="H54" s="2"/>
      <c r="L54" s="2">
        <v>37.642000000000003</v>
      </c>
    </row>
    <row r="55" spans="1:12" x14ac:dyDescent="0.2">
      <c r="A55" s="2"/>
      <c r="B55" s="2"/>
      <c r="C55" s="2"/>
      <c r="D55" s="2"/>
      <c r="E55" s="2">
        <v>53.944000000000003</v>
      </c>
      <c r="F55" s="2">
        <v>51.512999999999998</v>
      </c>
      <c r="G55" s="2">
        <v>42.292999999999999</v>
      </c>
      <c r="H55" s="2"/>
      <c r="L55" s="2">
        <v>48.671999999999997</v>
      </c>
    </row>
    <row r="56" spans="1:12" x14ac:dyDescent="0.2">
      <c r="A56" s="2"/>
      <c r="B56" s="2"/>
      <c r="C56" s="2"/>
      <c r="D56" s="2"/>
      <c r="E56" s="2"/>
      <c r="F56" s="2">
        <v>45.908999999999999</v>
      </c>
      <c r="G56" s="2">
        <v>56.542000000000002</v>
      </c>
      <c r="H56" s="2"/>
      <c r="L56" s="2">
        <v>52.491999999999997</v>
      </c>
    </row>
    <row r="57" spans="1:12" x14ac:dyDescent="0.2">
      <c r="A57" s="2"/>
      <c r="B57" s="2"/>
      <c r="C57" s="2"/>
      <c r="D57" s="2"/>
      <c r="E57" s="2"/>
      <c r="F57" s="2"/>
      <c r="G57" s="2">
        <v>51.667000000000002</v>
      </c>
      <c r="H57" s="2"/>
      <c r="L57" s="2">
        <v>43.438000000000002</v>
      </c>
    </row>
    <row r="58" spans="1:12" x14ac:dyDescent="0.2">
      <c r="A58" s="2"/>
      <c r="B58" s="2"/>
      <c r="C58" s="2"/>
      <c r="D58" s="2"/>
      <c r="E58" s="2"/>
      <c r="F58" s="2">
        <v>40.073</v>
      </c>
      <c r="G58" s="2"/>
      <c r="H58" s="2"/>
      <c r="L58" s="2">
        <v>51.904000000000003</v>
      </c>
    </row>
    <row r="59" spans="1:12" x14ac:dyDescent="0.2">
      <c r="A59" s="2"/>
      <c r="B59" s="2"/>
      <c r="C59" s="2"/>
      <c r="D59" s="2"/>
      <c r="E59" s="2"/>
      <c r="F59" s="2">
        <v>40.408999999999999</v>
      </c>
      <c r="G59" s="2">
        <v>54.869</v>
      </c>
      <c r="H59" s="2"/>
      <c r="L59" s="2">
        <v>46.466999999999999</v>
      </c>
    </row>
    <row r="60" spans="1:12" x14ac:dyDescent="0.2">
      <c r="A60" s="2"/>
      <c r="B60" s="2"/>
      <c r="C60" s="2"/>
      <c r="D60" s="2"/>
      <c r="E60" s="2"/>
      <c r="F60" s="2">
        <v>54.756999999999998</v>
      </c>
      <c r="G60" s="2">
        <v>49.570999999999998</v>
      </c>
      <c r="H60" s="2"/>
      <c r="L60" s="2">
        <v>36.701999999999998</v>
      </c>
    </row>
    <row r="61" spans="1:12" x14ac:dyDescent="0.2">
      <c r="A61" s="2"/>
      <c r="B61" s="2"/>
      <c r="C61" s="2"/>
      <c r="D61" s="2"/>
      <c r="E61" s="2"/>
      <c r="F61" s="2">
        <v>55.136000000000003</v>
      </c>
      <c r="G61" s="2">
        <v>53.234999999999999</v>
      </c>
      <c r="H61" s="2"/>
      <c r="L61" s="2">
        <v>43.774999999999999</v>
      </c>
    </row>
    <row r="62" spans="1:12" x14ac:dyDescent="0.2">
      <c r="A62" s="2"/>
      <c r="B62" s="2"/>
      <c r="C62" s="2"/>
      <c r="D62" s="2"/>
      <c r="E62" s="2"/>
      <c r="F62" s="2">
        <v>52.515000000000001</v>
      </c>
      <c r="G62" s="2">
        <v>52.268999999999998</v>
      </c>
      <c r="H62" s="2"/>
      <c r="L62" s="2">
        <v>50.732999999999997</v>
      </c>
    </row>
    <row r="63" spans="1:12" x14ac:dyDescent="0.2">
      <c r="A63" s="2"/>
      <c r="B63" s="2"/>
      <c r="C63" s="2"/>
      <c r="D63" s="2"/>
      <c r="E63" s="2"/>
      <c r="F63" s="2">
        <v>48.037999999999997</v>
      </c>
      <c r="G63" s="2">
        <v>49.347999999999999</v>
      </c>
      <c r="H63" s="2"/>
      <c r="L63" s="2">
        <v>42.494999999999997</v>
      </c>
    </row>
    <row r="64" spans="1:12" x14ac:dyDescent="0.2">
      <c r="A64" s="2"/>
      <c r="B64" s="2"/>
      <c r="C64" s="2"/>
      <c r="D64" s="2"/>
      <c r="E64" s="2"/>
      <c r="F64" s="2">
        <v>45.466000000000001</v>
      </c>
      <c r="G64" s="2">
        <v>48.634</v>
      </c>
      <c r="H64" s="2"/>
      <c r="L64" s="2">
        <v>57.680999999999997</v>
      </c>
    </row>
    <row r="65" spans="1:12" x14ac:dyDescent="0.2">
      <c r="A65" s="2"/>
      <c r="B65" s="2"/>
      <c r="C65" s="2"/>
      <c r="D65" s="2"/>
      <c r="E65" s="2"/>
      <c r="F65" s="2">
        <v>56.216000000000001</v>
      </c>
      <c r="G65" s="2">
        <v>55.369</v>
      </c>
      <c r="H65" s="2"/>
      <c r="L65" s="2">
        <v>46.466999999999999</v>
      </c>
    </row>
    <row r="66" spans="1:12" x14ac:dyDescent="0.2">
      <c r="A66" s="2"/>
      <c r="B66" s="2"/>
      <c r="C66" s="2"/>
      <c r="D66" s="2"/>
      <c r="E66" s="2"/>
      <c r="F66" s="2">
        <v>51.869</v>
      </c>
      <c r="G66" s="2"/>
      <c r="H66" s="2"/>
      <c r="L66" s="2">
        <v>51.893000000000001</v>
      </c>
    </row>
    <row r="67" spans="1:12" x14ac:dyDescent="0.2">
      <c r="A67" s="2"/>
      <c r="B67" s="2"/>
      <c r="C67" s="2"/>
      <c r="D67" s="2"/>
      <c r="E67" s="2"/>
      <c r="F67" s="2">
        <v>51.595999999999997</v>
      </c>
      <c r="G67" s="2">
        <v>55.634999999999998</v>
      </c>
      <c r="H67" s="2"/>
      <c r="L67" s="2">
        <v>54.442</v>
      </c>
    </row>
    <row r="68" spans="1:12" x14ac:dyDescent="0.2">
      <c r="A68" s="2"/>
      <c r="B68" s="2"/>
      <c r="C68" s="2"/>
      <c r="D68" s="2"/>
      <c r="E68" s="2"/>
      <c r="F68" s="2">
        <v>52.945999999999998</v>
      </c>
      <c r="G68" s="2">
        <v>44.11</v>
      </c>
      <c r="H68" s="2"/>
      <c r="L68" s="2">
        <v>49.161000000000001</v>
      </c>
    </row>
    <row r="69" spans="1:12" x14ac:dyDescent="0.2">
      <c r="A69" s="2"/>
      <c r="B69" s="2"/>
      <c r="C69" s="2"/>
      <c r="D69" s="2"/>
      <c r="E69" s="2"/>
      <c r="F69" s="2">
        <v>45.613999999999997</v>
      </c>
      <c r="G69" s="2">
        <v>44.497999999999998</v>
      </c>
      <c r="H69" s="2"/>
      <c r="L69" s="2">
        <v>41.100999999999999</v>
      </c>
    </row>
    <row r="70" spans="1:12" x14ac:dyDescent="0.2">
      <c r="A70" s="2"/>
      <c r="B70" s="2"/>
      <c r="C70" s="2"/>
      <c r="D70" s="2"/>
      <c r="E70" s="2"/>
      <c r="F70" s="2">
        <v>51.631999999999998</v>
      </c>
      <c r="G70" s="2">
        <v>53.280999999999999</v>
      </c>
      <c r="H70" s="2"/>
      <c r="L70" s="2">
        <v>42.494999999999997</v>
      </c>
    </row>
    <row r="71" spans="1:12" x14ac:dyDescent="0.2">
      <c r="A71" s="2"/>
      <c r="B71" s="2"/>
      <c r="C71" s="2"/>
      <c r="D71" s="2"/>
      <c r="E71" s="2"/>
      <c r="F71" s="2"/>
      <c r="G71" s="2"/>
      <c r="H71" s="2"/>
      <c r="L71" s="2">
        <v>46.082000000000001</v>
      </c>
    </row>
    <row r="72" spans="1:12" x14ac:dyDescent="0.2">
      <c r="A72" s="2"/>
      <c r="B72" s="2"/>
      <c r="C72" s="2"/>
      <c r="D72" s="2"/>
      <c r="E72" s="2"/>
      <c r="F72" s="2"/>
      <c r="G72" s="2">
        <v>46.953000000000003</v>
      </c>
      <c r="H72" s="2"/>
      <c r="L72" s="2">
        <v>53.591000000000001</v>
      </c>
    </row>
    <row r="73" spans="1:12" x14ac:dyDescent="0.2">
      <c r="A73" s="2"/>
      <c r="B73" s="2"/>
      <c r="C73" s="2"/>
      <c r="D73" s="2"/>
      <c r="E73" s="2"/>
      <c r="F73" s="2">
        <v>47.64</v>
      </c>
      <c r="G73" s="3"/>
      <c r="H73" s="2"/>
      <c r="L73" s="2">
        <v>48.100999999999999</v>
      </c>
    </row>
    <row r="74" spans="1:12" x14ac:dyDescent="0.2">
      <c r="A74" s="2"/>
      <c r="B74" s="2"/>
      <c r="C74" s="2"/>
      <c r="D74" s="2"/>
      <c r="E74" s="2"/>
      <c r="F74" s="2">
        <v>53.978000000000002</v>
      </c>
      <c r="G74" s="2">
        <v>48.177999999999997</v>
      </c>
      <c r="H74" s="2"/>
      <c r="L74" s="2">
        <v>54.667000000000002</v>
      </c>
    </row>
    <row r="75" spans="1:12" x14ac:dyDescent="0.2">
      <c r="A75" s="2"/>
      <c r="B75" s="2"/>
      <c r="C75" s="2"/>
      <c r="D75" s="2"/>
      <c r="E75" s="2"/>
      <c r="F75" s="2">
        <v>50.454000000000001</v>
      </c>
      <c r="G75" s="2">
        <v>51.465000000000003</v>
      </c>
      <c r="H75" s="2"/>
      <c r="L75" s="2">
        <v>55.767000000000003</v>
      </c>
    </row>
    <row r="76" spans="1:12" x14ac:dyDescent="0.2">
      <c r="A76" s="2"/>
      <c r="B76" s="2"/>
      <c r="C76" s="2"/>
      <c r="D76" s="2"/>
      <c r="E76" s="2"/>
      <c r="F76" s="2">
        <v>48.267000000000003</v>
      </c>
      <c r="G76" s="2">
        <v>51.417999999999999</v>
      </c>
      <c r="H76" s="2"/>
      <c r="L76" s="2">
        <v>53.280999999999999</v>
      </c>
    </row>
    <row r="77" spans="1:12" x14ac:dyDescent="0.2">
      <c r="A77" s="2"/>
      <c r="B77" s="2"/>
      <c r="C77" s="2"/>
      <c r="D77" s="2"/>
      <c r="E77" s="2"/>
      <c r="F77" s="2">
        <v>46.52</v>
      </c>
      <c r="G77" s="2">
        <v>51.738999999999997</v>
      </c>
      <c r="H77" s="2"/>
      <c r="L77" s="2">
        <v>43.167999999999999</v>
      </c>
    </row>
    <row r="78" spans="1:12" x14ac:dyDescent="0.2">
      <c r="A78" s="2"/>
      <c r="B78" s="2"/>
      <c r="C78" s="2"/>
      <c r="D78" s="2"/>
      <c r="E78" s="2"/>
      <c r="F78" s="2">
        <v>39.92</v>
      </c>
      <c r="G78" s="2">
        <v>41.929000000000002</v>
      </c>
      <c r="H78" s="2"/>
      <c r="L78" s="2">
        <v>41.62</v>
      </c>
    </row>
    <row r="79" spans="1:12" x14ac:dyDescent="0.2">
      <c r="A79" s="2"/>
      <c r="B79" s="2"/>
      <c r="C79" s="2"/>
      <c r="D79" s="2"/>
      <c r="E79" s="2"/>
      <c r="F79" s="2"/>
      <c r="G79" s="2">
        <v>47.73</v>
      </c>
      <c r="H79" s="2"/>
      <c r="L79" s="2">
        <v>51.762</v>
      </c>
    </row>
    <row r="80" spans="1:12" x14ac:dyDescent="0.2">
      <c r="A80" s="2"/>
      <c r="B80" s="2"/>
      <c r="C80" s="2"/>
      <c r="D80" s="2"/>
      <c r="E80" s="2"/>
      <c r="F80" s="2"/>
      <c r="G80" s="2">
        <v>52.55</v>
      </c>
      <c r="H80" s="2"/>
      <c r="L80" s="2">
        <v>48.936</v>
      </c>
    </row>
    <row r="81" spans="1:12" x14ac:dyDescent="0.2">
      <c r="A81" s="2"/>
      <c r="B81" s="2"/>
      <c r="C81" s="2"/>
      <c r="D81" s="2"/>
      <c r="E81" s="2"/>
      <c r="F81" s="2"/>
      <c r="G81" s="2">
        <v>55.213999999999999</v>
      </c>
      <c r="H81" s="2"/>
      <c r="L81" s="2">
        <v>36.701999999999998</v>
      </c>
    </row>
    <row r="82" spans="1:12" x14ac:dyDescent="0.2">
      <c r="A82" s="2"/>
      <c r="B82" s="2"/>
      <c r="C82" s="2"/>
      <c r="D82" s="2"/>
      <c r="E82" s="2"/>
      <c r="F82" s="2"/>
      <c r="G82" s="2">
        <v>45.56</v>
      </c>
      <c r="H82" s="2"/>
      <c r="L82" s="2">
        <v>54.566000000000003</v>
      </c>
    </row>
    <row r="83" spans="1:12" x14ac:dyDescent="0.2">
      <c r="A83" s="2"/>
      <c r="B83" s="2"/>
      <c r="C83" s="2"/>
      <c r="D83" s="2"/>
      <c r="E83" s="2"/>
      <c r="F83" s="2"/>
      <c r="G83" s="2">
        <v>48.823</v>
      </c>
      <c r="H83" s="2"/>
      <c r="L83" s="2">
        <v>55.491</v>
      </c>
    </row>
    <row r="84" spans="1:12" x14ac:dyDescent="0.2">
      <c r="A84" s="2"/>
      <c r="B84" s="2"/>
      <c r="C84" s="2"/>
      <c r="D84" s="2"/>
      <c r="E84" s="2"/>
      <c r="F84" s="2"/>
      <c r="G84" s="2">
        <v>39.332000000000001</v>
      </c>
      <c r="H84" s="2"/>
      <c r="L84" s="2">
        <v>58.136000000000003</v>
      </c>
    </row>
    <row r="85" spans="1:12" x14ac:dyDescent="0.2">
      <c r="A85" s="2"/>
      <c r="B85" s="2"/>
      <c r="C85" s="2"/>
      <c r="D85" s="2"/>
      <c r="E85" s="2"/>
      <c r="F85" s="2"/>
      <c r="G85" s="2">
        <v>44.8</v>
      </c>
      <c r="H85" s="2"/>
      <c r="L85" s="2">
        <v>40.5</v>
      </c>
    </row>
    <row r="86" spans="1:12" x14ac:dyDescent="0.2">
      <c r="A86" s="2"/>
      <c r="B86" s="2"/>
      <c r="C86" s="2"/>
      <c r="D86" s="2"/>
      <c r="E86" s="2"/>
      <c r="F86" s="2"/>
      <c r="G86" s="2">
        <v>55.8</v>
      </c>
      <c r="H86" s="2"/>
      <c r="L86" s="2">
        <v>38.607999999999997</v>
      </c>
    </row>
    <row r="87" spans="1:12" x14ac:dyDescent="0.2">
      <c r="A87" s="2"/>
      <c r="B87" s="2"/>
      <c r="C87" s="2"/>
      <c r="D87" s="2"/>
      <c r="E87" s="2"/>
      <c r="F87" s="2"/>
      <c r="G87" s="2">
        <v>53.338000000000001</v>
      </c>
      <c r="H87" s="2"/>
      <c r="L87" s="2">
        <v>44.963999999999999</v>
      </c>
    </row>
    <row r="88" spans="1:12" x14ac:dyDescent="0.2">
      <c r="A88" s="2"/>
      <c r="B88" s="2"/>
      <c r="C88" s="2"/>
      <c r="D88" s="2"/>
      <c r="E88" s="2"/>
      <c r="F88" s="2"/>
      <c r="G88" s="2">
        <v>48.773000000000003</v>
      </c>
      <c r="H88" s="2"/>
      <c r="L88" s="2">
        <v>46.149000000000001</v>
      </c>
    </row>
    <row r="89" spans="1:12" x14ac:dyDescent="0.2">
      <c r="A89" s="2"/>
      <c r="B89" s="2"/>
      <c r="C89" s="2"/>
      <c r="D89" s="2"/>
      <c r="E89" s="2"/>
      <c r="F89" s="2"/>
      <c r="G89" s="2">
        <v>46.835000000000001</v>
      </c>
      <c r="H89" s="2"/>
      <c r="L89" s="2">
        <v>48.558</v>
      </c>
    </row>
    <row r="90" spans="1:12" x14ac:dyDescent="0.2">
      <c r="A90" s="2"/>
      <c r="B90" s="2"/>
      <c r="C90" s="2"/>
      <c r="D90" s="2"/>
      <c r="E90" s="2"/>
      <c r="F90" s="2"/>
      <c r="G90" s="2">
        <v>50.039000000000001</v>
      </c>
      <c r="H90" s="2"/>
      <c r="L90" s="2">
        <v>38.225000000000001</v>
      </c>
    </row>
    <row r="91" spans="1:12" x14ac:dyDescent="0.2">
      <c r="A91" s="2"/>
      <c r="B91" s="2"/>
      <c r="C91" s="2"/>
      <c r="D91" s="2"/>
      <c r="E91" s="2"/>
      <c r="F91" s="2"/>
      <c r="G91" s="2">
        <v>53.037999999999997</v>
      </c>
      <c r="H91" s="2"/>
      <c r="L91" s="2">
        <v>51.453000000000003</v>
      </c>
    </row>
    <row r="92" spans="1:12" x14ac:dyDescent="0.2">
      <c r="A92" s="2"/>
      <c r="B92" s="2"/>
      <c r="C92" s="2"/>
      <c r="D92" s="2"/>
      <c r="E92" s="2"/>
      <c r="F92" s="2"/>
      <c r="G92" s="2">
        <v>54.262</v>
      </c>
      <c r="H92" s="2"/>
      <c r="L92" s="2">
        <v>58.796999999999997</v>
      </c>
    </row>
    <row r="93" spans="1:12" x14ac:dyDescent="0.2">
      <c r="A93" s="2"/>
      <c r="B93" s="2"/>
      <c r="C93" s="2"/>
      <c r="D93" s="2"/>
      <c r="E93" s="2"/>
      <c r="F93" s="2"/>
      <c r="G93" s="2">
        <v>53.682000000000002</v>
      </c>
      <c r="H93" s="2"/>
      <c r="L93" s="2">
        <v>43.970999999999997</v>
      </c>
    </row>
    <row r="94" spans="1:12" x14ac:dyDescent="0.2">
      <c r="A94" s="2"/>
      <c r="B94" s="2"/>
      <c r="C94" s="2"/>
      <c r="D94" s="2"/>
      <c r="E94" s="2"/>
      <c r="F94" s="2"/>
      <c r="G94" s="2">
        <v>50.466000000000001</v>
      </c>
      <c r="H94" s="2"/>
      <c r="L94" s="2">
        <v>54.991999999999997</v>
      </c>
    </row>
    <row r="95" spans="1:12" x14ac:dyDescent="0.2">
      <c r="A95" s="2"/>
      <c r="B95" s="2"/>
      <c r="C95" s="2"/>
      <c r="D95" s="2"/>
      <c r="E95" s="2"/>
      <c r="F95" s="2"/>
      <c r="G95" s="2">
        <v>45.506999999999998</v>
      </c>
      <c r="H95" s="2"/>
      <c r="L95" s="2">
        <v>40.575000000000003</v>
      </c>
    </row>
    <row r="96" spans="1:12" x14ac:dyDescent="0.2">
      <c r="A96" s="2"/>
      <c r="B96" s="2"/>
      <c r="C96" s="2"/>
      <c r="D96" s="2"/>
      <c r="E96" s="2"/>
      <c r="F96" s="2"/>
      <c r="G96" s="2">
        <v>50.539000000000001</v>
      </c>
      <c r="H96" s="2"/>
      <c r="L96" s="2">
        <v>41.781999999999996</v>
      </c>
    </row>
    <row r="97" spans="1:12" x14ac:dyDescent="0.2">
      <c r="A97" s="2"/>
      <c r="B97" s="2"/>
      <c r="C97" s="2"/>
      <c r="D97" s="2"/>
      <c r="E97" s="2"/>
      <c r="F97" s="2"/>
      <c r="G97" s="2">
        <v>46.189</v>
      </c>
      <c r="H97" s="2"/>
      <c r="L97" s="2">
        <v>36.618000000000002</v>
      </c>
    </row>
    <row r="98" spans="1:12" x14ac:dyDescent="0.2">
      <c r="A98" s="2"/>
      <c r="B98" s="2"/>
      <c r="C98" s="2"/>
      <c r="D98" s="2"/>
      <c r="E98" s="2"/>
      <c r="F98" s="2"/>
      <c r="G98" s="2">
        <v>52.198999999999998</v>
      </c>
      <c r="H98" s="2"/>
      <c r="L98" s="2">
        <v>40.665999999999997</v>
      </c>
    </row>
    <row r="99" spans="1:12" x14ac:dyDescent="0.2">
      <c r="A99" s="2"/>
      <c r="B99" s="2"/>
      <c r="C99" s="2"/>
      <c r="D99" s="2"/>
      <c r="E99" s="2"/>
      <c r="F99" s="2"/>
      <c r="G99" s="2">
        <v>50.088000000000001</v>
      </c>
      <c r="H99" s="2"/>
      <c r="L99" s="2">
        <v>48.494999999999997</v>
      </c>
    </row>
    <row r="100" spans="1:12" x14ac:dyDescent="0.2">
      <c r="A100" s="2"/>
      <c r="B100" s="2"/>
      <c r="C100" s="2"/>
      <c r="D100" s="2"/>
      <c r="E100" s="2"/>
      <c r="F100" s="2"/>
      <c r="G100" s="2">
        <v>39.966000000000001</v>
      </c>
      <c r="H100" s="2"/>
      <c r="L100" s="2">
        <v>54.734000000000002</v>
      </c>
    </row>
    <row r="101" spans="1:12" x14ac:dyDescent="0.2">
      <c r="A101" s="2"/>
      <c r="B101" s="2"/>
      <c r="C101" s="2"/>
      <c r="D101" s="2"/>
      <c r="E101" s="2"/>
      <c r="F101" s="2"/>
      <c r="G101" s="2">
        <v>43.872999999999998</v>
      </c>
      <c r="H101" s="2"/>
      <c r="L101" s="2">
        <v>50.973999999999997</v>
      </c>
    </row>
    <row r="102" spans="1:12" x14ac:dyDescent="0.2">
      <c r="A102" s="2"/>
      <c r="B102" s="2"/>
      <c r="C102" s="2"/>
      <c r="D102" s="2"/>
      <c r="E102" s="2"/>
      <c r="F102" s="2"/>
      <c r="G102" s="2">
        <v>54.98</v>
      </c>
      <c r="H102" s="2"/>
      <c r="L102" s="2">
        <v>55.722999999999999</v>
      </c>
    </row>
    <row r="103" spans="1:12" x14ac:dyDescent="0.2">
      <c r="A103" s="2"/>
      <c r="B103" s="2"/>
      <c r="C103" s="2"/>
      <c r="D103" s="2"/>
      <c r="E103" s="2"/>
      <c r="F103" s="2"/>
      <c r="G103" s="2">
        <v>53.613</v>
      </c>
      <c r="H103" s="2"/>
      <c r="L103" s="2">
        <v>42.438000000000002</v>
      </c>
    </row>
    <row r="104" spans="1:12" x14ac:dyDescent="0.2">
      <c r="A104" s="2"/>
      <c r="B104" s="2"/>
      <c r="C104" s="2"/>
      <c r="D104" s="2"/>
      <c r="E104" s="2"/>
      <c r="F104" s="2"/>
      <c r="G104" s="2">
        <v>42.075000000000003</v>
      </c>
      <c r="H104" s="2"/>
      <c r="L104" s="2">
        <v>54.756999999999998</v>
      </c>
    </row>
    <row r="105" spans="1:12" x14ac:dyDescent="0.2">
      <c r="A105" s="2"/>
      <c r="B105" s="2"/>
      <c r="C105" s="2"/>
      <c r="D105" s="2"/>
      <c r="E105" s="2"/>
      <c r="F105" s="2"/>
      <c r="G105" s="2"/>
      <c r="H105" s="2"/>
      <c r="L105" s="2">
        <v>43.984999999999999</v>
      </c>
    </row>
    <row r="106" spans="1:12" x14ac:dyDescent="0.2">
      <c r="A106" s="2"/>
      <c r="B106" s="2"/>
      <c r="C106" s="2"/>
      <c r="D106" s="2"/>
      <c r="E106" s="2"/>
      <c r="F106" s="2"/>
      <c r="G106" s="2">
        <v>54.543999999999997</v>
      </c>
      <c r="H106" s="2"/>
      <c r="L106" s="2">
        <v>42.74</v>
      </c>
    </row>
    <row r="107" spans="1:12" x14ac:dyDescent="0.2">
      <c r="A107" s="2"/>
      <c r="B107" s="2"/>
      <c r="C107" s="2"/>
      <c r="D107" s="2"/>
      <c r="E107" s="2"/>
      <c r="F107" s="2"/>
      <c r="G107" s="2">
        <v>46.52</v>
      </c>
      <c r="H107" s="2"/>
      <c r="L107" s="2">
        <v>42.451999999999998</v>
      </c>
    </row>
    <row r="108" spans="1:12" x14ac:dyDescent="0.2">
      <c r="A108" s="2"/>
      <c r="B108" s="2"/>
      <c r="C108" s="2"/>
      <c r="D108" s="2"/>
      <c r="E108" s="2"/>
      <c r="F108" s="2"/>
      <c r="G108" s="2">
        <v>51.07</v>
      </c>
      <c r="H108" s="2"/>
      <c r="L108" s="2">
        <v>54.148000000000003</v>
      </c>
    </row>
    <row r="109" spans="1:12" x14ac:dyDescent="0.2">
      <c r="A109" s="2"/>
      <c r="B109" s="2"/>
      <c r="C109" s="2"/>
      <c r="D109" s="2"/>
      <c r="E109" s="2"/>
      <c r="F109" s="2"/>
      <c r="G109" s="2">
        <v>53.499000000000002</v>
      </c>
      <c r="H109" s="2"/>
      <c r="L109" s="2">
        <v>43.732999999999997</v>
      </c>
    </row>
    <row r="110" spans="1:12" x14ac:dyDescent="0.2">
      <c r="L110" s="2">
        <v>53.061</v>
      </c>
    </row>
    <row r="111" spans="1:12" x14ac:dyDescent="0.2">
      <c r="I111" s="1" t="s">
        <v>0</v>
      </c>
      <c r="J111" s="1" t="e">
        <f>AVERAGE(A111:H111)</f>
        <v>#DIV/0!</v>
      </c>
      <c r="L111" s="2">
        <v>37.167000000000002</v>
      </c>
    </row>
    <row r="112" spans="1:12" x14ac:dyDescent="0.2">
      <c r="L112" s="2">
        <v>44.220999999999997</v>
      </c>
    </row>
    <row r="113" spans="12:12" x14ac:dyDescent="0.2">
      <c r="L113" s="2">
        <v>49.978000000000002</v>
      </c>
    </row>
    <row r="114" spans="12:12" x14ac:dyDescent="0.2">
      <c r="L114" s="2">
        <v>44.47</v>
      </c>
    </row>
    <row r="115" spans="12:12" x14ac:dyDescent="0.2">
      <c r="L115" s="2">
        <v>41.176000000000002</v>
      </c>
    </row>
    <row r="116" spans="12:12" x14ac:dyDescent="0.2">
      <c r="L116" s="2">
        <v>54.170999999999999</v>
      </c>
    </row>
    <row r="117" spans="12:12" x14ac:dyDescent="0.2">
      <c r="L117" s="2">
        <v>49.372999999999998</v>
      </c>
    </row>
    <row r="118" spans="12:12" x14ac:dyDescent="0.2">
      <c r="L118" s="2">
        <v>37.853999999999999</v>
      </c>
    </row>
    <row r="119" spans="12:12" x14ac:dyDescent="0.2">
      <c r="L119" s="2">
        <v>52.701999999999998</v>
      </c>
    </row>
    <row r="120" spans="12:12" x14ac:dyDescent="0.2">
      <c r="L120" s="2">
        <v>55.789000000000001</v>
      </c>
    </row>
    <row r="121" spans="12:12" x14ac:dyDescent="0.2">
      <c r="L121" s="2">
        <v>56.899000000000001</v>
      </c>
    </row>
    <row r="122" spans="12:12" x14ac:dyDescent="0.2">
      <c r="L122" s="2">
        <v>59.832000000000001</v>
      </c>
    </row>
    <row r="123" spans="12:12" x14ac:dyDescent="0.2">
      <c r="L123" s="2">
        <v>40.680999999999997</v>
      </c>
    </row>
    <row r="124" spans="12:12" x14ac:dyDescent="0.2">
      <c r="L124" s="2">
        <v>46.860999999999997</v>
      </c>
    </row>
    <row r="125" spans="12:12" x14ac:dyDescent="0.2">
      <c r="L125" s="2">
        <v>37.134</v>
      </c>
    </row>
    <row r="126" spans="12:12" x14ac:dyDescent="0.2">
      <c r="L126" s="2">
        <v>52.058</v>
      </c>
    </row>
    <row r="127" spans="12:12" x14ac:dyDescent="0.2">
      <c r="L127" s="2">
        <v>38.844999999999999</v>
      </c>
    </row>
    <row r="128" spans="12:12" x14ac:dyDescent="0.2">
      <c r="L128" s="2">
        <v>46.808999999999997</v>
      </c>
    </row>
    <row r="129" spans="12:12" x14ac:dyDescent="0.2">
      <c r="L129" s="2">
        <v>47.55</v>
      </c>
    </row>
    <row r="130" spans="12:12" x14ac:dyDescent="0.2">
      <c r="L130" s="2">
        <v>50.805</v>
      </c>
    </row>
    <row r="131" spans="12:12" x14ac:dyDescent="0.2">
      <c r="L131" s="2">
        <v>53.944000000000003</v>
      </c>
    </row>
    <row r="132" spans="12:12" x14ac:dyDescent="0.2">
      <c r="L132" s="2">
        <v>58.179000000000002</v>
      </c>
    </row>
    <row r="133" spans="12:12" x14ac:dyDescent="0.2">
      <c r="L133" s="2">
        <v>47.186999999999998</v>
      </c>
    </row>
    <row r="134" spans="12:12" x14ac:dyDescent="0.2">
      <c r="L134" s="2">
        <v>42.725999999999999</v>
      </c>
    </row>
    <row r="135" spans="12:12" x14ac:dyDescent="0.2">
      <c r="L135" s="2">
        <v>54.722999999999999</v>
      </c>
    </row>
    <row r="136" spans="12:12" x14ac:dyDescent="0.2">
      <c r="L136" s="2">
        <v>46.835000000000001</v>
      </c>
    </row>
    <row r="137" spans="12:12" x14ac:dyDescent="0.2">
      <c r="L137" s="2">
        <v>52.058</v>
      </c>
    </row>
    <row r="138" spans="12:12" x14ac:dyDescent="0.2">
      <c r="L138" s="2">
        <v>45.869</v>
      </c>
    </row>
    <row r="139" spans="12:12" x14ac:dyDescent="0.2">
      <c r="L139" s="2">
        <v>47.923000000000002</v>
      </c>
    </row>
    <row r="140" spans="12:12" x14ac:dyDescent="0.2">
      <c r="L140" s="2">
        <v>51.927999999999997</v>
      </c>
    </row>
    <row r="141" spans="12:12" x14ac:dyDescent="0.2">
      <c r="L141" s="2">
        <v>47.408000000000001</v>
      </c>
    </row>
    <row r="142" spans="12:12" x14ac:dyDescent="0.2">
      <c r="L142" s="2">
        <v>58.744999999999997</v>
      </c>
    </row>
    <row r="143" spans="12:12" x14ac:dyDescent="0.2">
      <c r="L143" s="2">
        <v>53.085000000000001</v>
      </c>
    </row>
    <row r="144" spans="12:12" x14ac:dyDescent="0.2">
      <c r="L144" s="2">
        <v>52.021999999999998</v>
      </c>
    </row>
    <row r="145" spans="12:12" x14ac:dyDescent="0.2">
      <c r="L145" s="2">
        <v>52.969000000000001</v>
      </c>
    </row>
    <row r="146" spans="12:12" x14ac:dyDescent="0.2">
      <c r="L146" s="2">
        <v>48.253999999999998</v>
      </c>
    </row>
    <row r="147" spans="12:12" x14ac:dyDescent="0.2">
      <c r="L147" s="2">
        <v>40.073</v>
      </c>
    </row>
    <row r="148" spans="12:12" x14ac:dyDescent="0.2">
      <c r="L148" s="2">
        <v>57.179000000000002</v>
      </c>
    </row>
    <row r="149" spans="12:12" x14ac:dyDescent="0.2">
      <c r="L149" s="2">
        <v>50.064</v>
      </c>
    </row>
    <row r="150" spans="12:12" x14ac:dyDescent="0.2">
      <c r="L150" s="2">
        <v>53.073</v>
      </c>
    </row>
    <row r="151" spans="12:12" x14ac:dyDescent="0.2">
      <c r="L151" s="2">
        <v>47.408000000000001</v>
      </c>
    </row>
    <row r="152" spans="12:12" x14ac:dyDescent="0.2">
      <c r="L152" s="2">
        <v>51.822000000000003</v>
      </c>
    </row>
    <row r="153" spans="12:12" x14ac:dyDescent="0.2">
      <c r="L153" s="2">
        <v>50.173999999999999</v>
      </c>
    </row>
    <row r="154" spans="12:12" x14ac:dyDescent="0.2">
      <c r="L154" s="2">
        <v>52.597000000000001</v>
      </c>
    </row>
    <row r="155" spans="12:12" x14ac:dyDescent="0.2">
      <c r="L155" s="2">
        <v>55.259</v>
      </c>
    </row>
    <row r="156" spans="12:12" x14ac:dyDescent="0.2">
      <c r="L156" s="2">
        <v>59.883000000000003</v>
      </c>
    </row>
    <row r="157" spans="12:12" x14ac:dyDescent="0.2">
      <c r="L157" s="2">
        <v>37.067999999999998</v>
      </c>
    </row>
    <row r="158" spans="12:12" x14ac:dyDescent="0.2">
      <c r="L158" s="2">
        <v>54.610999999999997</v>
      </c>
    </row>
    <row r="159" spans="12:12" x14ac:dyDescent="0.2">
      <c r="L159" s="2">
        <v>43.55</v>
      </c>
    </row>
    <row r="160" spans="12:12" x14ac:dyDescent="0.2">
      <c r="L160" s="2">
        <v>52.98</v>
      </c>
    </row>
    <row r="161" spans="12:12" x14ac:dyDescent="0.2">
      <c r="L161" s="2">
        <v>54.16</v>
      </c>
    </row>
    <row r="162" spans="12:12" x14ac:dyDescent="0.2">
      <c r="L162" s="2">
        <v>48.773000000000003</v>
      </c>
    </row>
    <row r="163" spans="12:12" x14ac:dyDescent="0.2">
      <c r="L163" s="2">
        <v>50.308</v>
      </c>
    </row>
    <row r="164" spans="12:12" x14ac:dyDescent="0.2">
      <c r="L164" s="2">
        <v>55.469000000000001</v>
      </c>
    </row>
    <row r="165" spans="12:12" x14ac:dyDescent="0.2">
      <c r="L165" s="2">
        <v>52.585000000000001</v>
      </c>
    </row>
    <row r="166" spans="12:12" x14ac:dyDescent="0.2">
      <c r="L166" s="2">
        <v>46.215000000000003</v>
      </c>
    </row>
    <row r="167" spans="12:12" x14ac:dyDescent="0.2">
      <c r="L167" s="2">
        <v>44.963999999999999</v>
      </c>
    </row>
    <row r="168" spans="12:12" x14ac:dyDescent="0.2">
      <c r="L168" s="2">
        <v>53.164999999999999</v>
      </c>
    </row>
    <row r="169" spans="12:12" x14ac:dyDescent="0.2">
      <c r="L169" s="2">
        <v>42.997999999999998</v>
      </c>
    </row>
    <row r="170" spans="12:12" x14ac:dyDescent="0.2">
      <c r="L170" s="2">
        <v>58.241999999999997</v>
      </c>
    </row>
    <row r="171" spans="12:12" x14ac:dyDescent="0.2">
      <c r="L171" s="2">
        <v>39.981999999999999</v>
      </c>
    </row>
    <row r="172" spans="12:12" x14ac:dyDescent="0.2">
      <c r="L172" s="2">
        <v>54.228000000000002</v>
      </c>
    </row>
    <row r="173" spans="12:12" x14ac:dyDescent="0.2">
      <c r="L173" s="2">
        <v>48.697000000000003</v>
      </c>
    </row>
    <row r="174" spans="12:12" x14ac:dyDescent="0.2">
      <c r="L174" s="2">
        <v>60.22</v>
      </c>
    </row>
    <row r="175" spans="12:12" x14ac:dyDescent="0.2">
      <c r="L175" s="2">
        <v>51.81</v>
      </c>
    </row>
    <row r="176" spans="12:12" x14ac:dyDescent="0.2">
      <c r="L176" s="2">
        <v>55.347000000000001</v>
      </c>
    </row>
    <row r="177" spans="12:12" x14ac:dyDescent="0.2">
      <c r="L177" s="2">
        <v>50.002000000000002</v>
      </c>
    </row>
    <row r="178" spans="12:12" x14ac:dyDescent="0.2">
      <c r="L178" s="2">
        <v>57.5</v>
      </c>
    </row>
    <row r="179" spans="12:12" x14ac:dyDescent="0.2">
      <c r="L179" s="2">
        <v>43.774999999999999</v>
      </c>
    </row>
    <row r="180" spans="12:12" x14ac:dyDescent="0.2">
      <c r="L180" s="2">
        <v>49.904000000000003</v>
      </c>
    </row>
    <row r="181" spans="12:12" x14ac:dyDescent="0.2">
      <c r="L181" s="2">
        <v>38.972000000000001</v>
      </c>
    </row>
    <row r="182" spans="12:12" x14ac:dyDescent="0.2">
      <c r="L182" s="2">
        <v>50.369</v>
      </c>
    </row>
    <row r="183" spans="12:12" x14ac:dyDescent="0.2">
      <c r="L183" s="2">
        <v>51.512999999999998</v>
      </c>
    </row>
    <row r="184" spans="12:12" x14ac:dyDescent="0.2">
      <c r="L184" s="2">
        <v>45.908999999999999</v>
      </c>
    </row>
    <row r="185" spans="12:12" x14ac:dyDescent="0.2">
      <c r="L185" s="2">
        <v>40.073</v>
      </c>
    </row>
    <row r="186" spans="12:12" x14ac:dyDescent="0.2">
      <c r="L186" s="2">
        <v>40.408999999999999</v>
      </c>
    </row>
    <row r="187" spans="12:12" x14ac:dyDescent="0.2">
      <c r="L187" s="2">
        <v>54.756999999999998</v>
      </c>
    </row>
    <row r="188" spans="12:12" x14ac:dyDescent="0.2">
      <c r="L188" s="2">
        <v>55.136000000000003</v>
      </c>
    </row>
    <row r="189" spans="12:12" x14ac:dyDescent="0.2">
      <c r="L189" s="2">
        <v>52.515000000000001</v>
      </c>
    </row>
    <row r="190" spans="12:12" x14ac:dyDescent="0.2">
      <c r="L190" s="2">
        <v>48.037999999999997</v>
      </c>
    </row>
    <row r="191" spans="12:12" x14ac:dyDescent="0.2">
      <c r="L191" s="2">
        <v>45.466000000000001</v>
      </c>
    </row>
    <row r="192" spans="12:12" x14ac:dyDescent="0.2">
      <c r="L192" s="2">
        <v>56.216000000000001</v>
      </c>
    </row>
    <row r="193" spans="12:12" x14ac:dyDescent="0.2">
      <c r="L193" s="2">
        <v>51.869</v>
      </c>
    </row>
    <row r="194" spans="12:12" x14ac:dyDescent="0.2">
      <c r="L194" s="2">
        <v>51.595999999999997</v>
      </c>
    </row>
    <row r="195" spans="12:12" x14ac:dyDescent="0.2">
      <c r="L195" s="2">
        <v>52.945999999999998</v>
      </c>
    </row>
    <row r="196" spans="12:12" x14ac:dyDescent="0.2">
      <c r="L196" s="2">
        <v>45.613999999999997</v>
      </c>
    </row>
    <row r="197" spans="12:12" x14ac:dyDescent="0.2">
      <c r="L197" s="2">
        <v>51.631999999999998</v>
      </c>
    </row>
    <row r="198" spans="12:12" x14ac:dyDescent="0.2">
      <c r="L198" s="2">
        <v>47.64</v>
      </c>
    </row>
    <row r="199" spans="12:12" x14ac:dyDescent="0.2">
      <c r="L199" s="2">
        <v>53.978000000000002</v>
      </c>
    </row>
    <row r="200" spans="12:12" x14ac:dyDescent="0.2">
      <c r="L200" s="2">
        <v>50.454000000000001</v>
      </c>
    </row>
    <row r="201" spans="12:12" x14ac:dyDescent="0.2">
      <c r="L201" s="2">
        <v>48.267000000000003</v>
      </c>
    </row>
    <row r="202" spans="12:12" x14ac:dyDescent="0.2">
      <c r="L202" s="2">
        <v>46.52</v>
      </c>
    </row>
    <row r="203" spans="12:12" x14ac:dyDescent="0.2">
      <c r="L203" s="2">
        <v>39.92</v>
      </c>
    </row>
    <row r="204" spans="12:12" x14ac:dyDescent="0.2">
      <c r="L204" s="2">
        <v>38.369</v>
      </c>
    </row>
    <row r="205" spans="12:12" x14ac:dyDescent="0.2">
      <c r="L205" s="2">
        <v>39.018999999999998</v>
      </c>
    </row>
    <row r="206" spans="12:12" x14ac:dyDescent="0.2">
      <c r="L206" s="2">
        <v>53.292000000000002</v>
      </c>
    </row>
    <row r="207" spans="12:12" x14ac:dyDescent="0.2">
      <c r="L207" s="2">
        <v>53.920999999999999</v>
      </c>
    </row>
    <row r="208" spans="12:12" x14ac:dyDescent="0.2">
      <c r="L208" s="2">
        <v>51.429000000000002</v>
      </c>
    </row>
    <row r="209" spans="12:12" x14ac:dyDescent="0.2">
      <c r="L209" s="2">
        <v>44.11</v>
      </c>
    </row>
    <row r="210" spans="12:12" x14ac:dyDescent="0.2">
      <c r="L210" s="2">
        <v>55.213999999999999</v>
      </c>
    </row>
    <row r="211" spans="12:12" x14ac:dyDescent="0.2">
      <c r="L211" s="2">
        <v>50.417999999999999</v>
      </c>
    </row>
    <row r="212" spans="12:12" x14ac:dyDescent="0.2">
      <c r="L212" s="2">
        <v>49.447000000000003</v>
      </c>
    </row>
    <row r="213" spans="12:12" x14ac:dyDescent="0.2">
      <c r="L213" s="2">
        <v>52.246000000000002</v>
      </c>
    </row>
    <row r="214" spans="12:12" x14ac:dyDescent="0.2">
      <c r="L214" s="2">
        <v>44.484000000000002</v>
      </c>
    </row>
    <row r="215" spans="12:12" x14ac:dyDescent="0.2">
      <c r="L215" s="2">
        <v>50.938000000000002</v>
      </c>
    </row>
    <row r="216" spans="12:12" x14ac:dyDescent="0.2">
      <c r="L216" s="2">
        <v>46.991999999999997</v>
      </c>
    </row>
    <row r="217" spans="12:12" x14ac:dyDescent="0.2">
      <c r="L217" s="2">
        <v>53.99</v>
      </c>
    </row>
    <row r="218" spans="12:12" x14ac:dyDescent="0.2">
      <c r="L218" s="2">
        <v>53.073</v>
      </c>
    </row>
    <row r="219" spans="12:12" x14ac:dyDescent="0.2">
      <c r="L219" s="2">
        <v>47.665999999999997</v>
      </c>
    </row>
    <row r="220" spans="12:12" x14ac:dyDescent="0.2">
      <c r="L220" s="2">
        <v>45.546999999999997</v>
      </c>
    </row>
    <row r="221" spans="12:12" x14ac:dyDescent="0.2">
      <c r="L221" s="2">
        <v>39.316000000000003</v>
      </c>
    </row>
    <row r="222" spans="12:12" x14ac:dyDescent="0.2">
      <c r="L222" s="2">
        <v>49.682000000000002</v>
      </c>
    </row>
    <row r="223" spans="12:12" x14ac:dyDescent="0.2">
      <c r="L223" s="2">
        <v>46.466999999999999</v>
      </c>
    </row>
    <row r="224" spans="12:12" x14ac:dyDescent="0.2">
      <c r="L224" s="2">
        <v>47.408000000000001</v>
      </c>
    </row>
    <row r="225" spans="12:12" x14ac:dyDescent="0.2">
      <c r="L225" s="2">
        <v>50.393000000000001</v>
      </c>
    </row>
    <row r="226" spans="12:12" x14ac:dyDescent="0.2">
      <c r="L226" s="2">
        <v>55.613</v>
      </c>
    </row>
    <row r="227" spans="12:12" x14ac:dyDescent="0.2">
      <c r="L227" s="2">
        <v>48.76</v>
      </c>
    </row>
    <row r="228" spans="12:12" x14ac:dyDescent="0.2">
      <c r="L228" s="2">
        <v>53.35</v>
      </c>
    </row>
    <row r="229" spans="12:12" x14ac:dyDescent="0.2">
      <c r="L229" s="2">
        <v>42.206000000000003</v>
      </c>
    </row>
    <row r="230" spans="12:12" x14ac:dyDescent="0.2">
      <c r="L230" s="2">
        <v>55.734000000000002</v>
      </c>
    </row>
    <row r="231" spans="12:12" x14ac:dyDescent="0.2">
      <c r="L231" s="2">
        <v>54.283999999999999</v>
      </c>
    </row>
    <row r="232" spans="12:12" x14ac:dyDescent="0.2">
      <c r="L232" s="2">
        <v>50.926000000000002</v>
      </c>
    </row>
    <row r="233" spans="12:12" x14ac:dyDescent="0.2">
      <c r="L233" s="2">
        <v>59.213000000000001</v>
      </c>
    </row>
    <row r="234" spans="12:12" x14ac:dyDescent="0.2">
      <c r="L234" s="2">
        <v>53.210999999999999</v>
      </c>
    </row>
    <row r="235" spans="12:12" x14ac:dyDescent="0.2">
      <c r="L235" s="2">
        <v>54.453000000000003</v>
      </c>
    </row>
    <row r="236" spans="12:12" x14ac:dyDescent="0.2">
      <c r="L236" s="2">
        <v>53.314999999999998</v>
      </c>
    </row>
    <row r="237" spans="12:12" x14ac:dyDescent="0.2">
      <c r="L237" s="2">
        <v>49.36</v>
      </c>
    </row>
    <row r="238" spans="12:12" x14ac:dyDescent="0.2">
      <c r="L238" s="2">
        <v>51.238</v>
      </c>
    </row>
    <row r="239" spans="12:12" x14ac:dyDescent="0.2">
      <c r="L239" s="2">
        <v>56.445</v>
      </c>
    </row>
    <row r="240" spans="12:12" x14ac:dyDescent="0.2">
      <c r="L240" s="2">
        <v>40.134999999999998</v>
      </c>
    </row>
    <row r="241" spans="12:12" x14ac:dyDescent="0.2">
      <c r="L241" s="2">
        <v>51.856999999999999</v>
      </c>
    </row>
    <row r="242" spans="12:12" x14ac:dyDescent="0.2">
      <c r="L242" s="2">
        <v>49.447000000000003</v>
      </c>
    </row>
    <row r="243" spans="12:12" x14ac:dyDescent="0.2">
      <c r="L243" s="2">
        <v>56.271000000000001</v>
      </c>
    </row>
    <row r="244" spans="12:12" x14ac:dyDescent="0.2">
      <c r="L244" s="2">
        <v>42.595999999999997</v>
      </c>
    </row>
    <row r="245" spans="12:12" x14ac:dyDescent="0.2">
      <c r="L245" s="2">
        <v>54.375</v>
      </c>
    </row>
    <row r="246" spans="12:12" x14ac:dyDescent="0.2">
      <c r="L246" s="2">
        <v>52.725000000000001</v>
      </c>
    </row>
    <row r="247" spans="12:12" x14ac:dyDescent="0.2">
      <c r="L247" s="2">
        <v>54.182000000000002</v>
      </c>
    </row>
    <row r="248" spans="12:12" x14ac:dyDescent="0.2">
      <c r="L248" s="2">
        <v>51.405999999999999</v>
      </c>
    </row>
    <row r="249" spans="12:12" x14ac:dyDescent="0.2">
      <c r="L249" s="2">
        <v>44.622</v>
      </c>
    </row>
    <row r="250" spans="12:12" x14ac:dyDescent="0.2">
      <c r="L250" s="2">
        <v>53.591000000000001</v>
      </c>
    </row>
    <row r="251" spans="12:12" x14ac:dyDescent="0.2">
      <c r="L251" s="2">
        <v>49.866999999999997</v>
      </c>
    </row>
    <row r="252" spans="12:12" x14ac:dyDescent="0.2">
      <c r="L252" s="2">
        <v>47.33</v>
      </c>
    </row>
    <row r="253" spans="12:12" x14ac:dyDescent="0.2">
      <c r="L253" s="2">
        <v>49.744</v>
      </c>
    </row>
    <row r="254" spans="12:12" x14ac:dyDescent="0.2">
      <c r="L254" s="2">
        <v>42.292999999999999</v>
      </c>
    </row>
    <row r="255" spans="12:12" x14ac:dyDescent="0.2">
      <c r="L255" s="2">
        <v>56.542000000000002</v>
      </c>
    </row>
    <row r="256" spans="12:12" x14ac:dyDescent="0.2">
      <c r="L256" s="2">
        <v>51.667000000000002</v>
      </c>
    </row>
    <row r="257" spans="12:12" x14ac:dyDescent="0.2">
      <c r="L257" s="2">
        <v>54.869</v>
      </c>
    </row>
    <row r="258" spans="12:12" x14ac:dyDescent="0.2">
      <c r="L258" s="2">
        <v>49.570999999999998</v>
      </c>
    </row>
    <row r="259" spans="12:12" x14ac:dyDescent="0.2">
      <c r="L259" s="2">
        <v>53.234999999999999</v>
      </c>
    </row>
    <row r="260" spans="12:12" x14ac:dyDescent="0.2">
      <c r="L260" s="2">
        <v>52.268999999999998</v>
      </c>
    </row>
    <row r="261" spans="12:12" x14ac:dyDescent="0.2">
      <c r="L261" s="2">
        <v>49.347999999999999</v>
      </c>
    </row>
    <row r="262" spans="12:12" x14ac:dyDescent="0.2">
      <c r="L262" s="2">
        <v>48.634</v>
      </c>
    </row>
    <row r="263" spans="12:12" x14ac:dyDescent="0.2">
      <c r="L263" s="2">
        <v>55.369</v>
      </c>
    </row>
    <row r="264" spans="12:12" x14ac:dyDescent="0.2">
      <c r="L264" s="2">
        <v>55.634999999999998</v>
      </c>
    </row>
    <row r="265" spans="12:12" x14ac:dyDescent="0.2">
      <c r="L265" s="2">
        <v>44.11</v>
      </c>
    </row>
    <row r="266" spans="12:12" x14ac:dyDescent="0.2">
      <c r="L266" s="2">
        <v>44.497999999999998</v>
      </c>
    </row>
    <row r="267" spans="12:12" x14ac:dyDescent="0.2">
      <c r="L267" s="2">
        <v>53.280999999999999</v>
      </c>
    </row>
    <row r="268" spans="12:12" x14ac:dyDescent="0.2">
      <c r="L268" s="2">
        <v>46.953000000000003</v>
      </c>
    </row>
    <row r="269" spans="12:12" x14ac:dyDescent="0.2">
      <c r="L269" s="2">
        <v>48.177999999999997</v>
      </c>
    </row>
    <row r="270" spans="12:12" x14ac:dyDescent="0.2">
      <c r="L270" s="2">
        <v>51.465000000000003</v>
      </c>
    </row>
    <row r="271" spans="12:12" x14ac:dyDescent="0.2">
      <c r="L271" s="2">
        <v>51.417999999999999</v>
      </c>
    </row>
    <row r="272" spans="12:12" x14ac:dyDescent="0.2">
      <c r="L272" s="2">
        <v>51.738999999999997</v>
      </c>
    </row>
    <row r="273" spans="12:12" x14ac:dyDescent="0.2">
      <c r="L273" s="2">
        <v>41.929000000000002</v>
      </c>
    </row>
    <row r="274" spans="12:12" x14ac:dyDescent="0.2">
      <c r="L274" s="2">
        <v>47.73</v>
      </c>
    </row>
    <row r="275" spans="12:12" x14ac:dyDescent="0.2">
      <c r="L275" s="2">
        <v>52.55</v>
      </c>
    </row>
    <row r="276" spans="12:12" x14ac:dyDescent="0.2">
      <c r="L276" s="2">
        <v>55.213999999999999</v>
      </c>
    </row>
    <row r="277" spans="12:12" x14ac:dyDescent="0.2">
      <c r="L277" s="2">
        <v>45.56</v>
      </c>
    </row>
    <row r="278" spans="12:12" x14ac:dyDescent="0.2">
      <c r="L278" s="2">
        <v>48.823</v>
      </c>
    </row>
    <row r="279" spans="12:12" x14ac:dyDescent="0.2">
      <c r="L279" s="2">
        <v>39.332000000000001</v>
      </c>
    </row>
    <row r="280" spans="12:12" x14ac:dyDescent="0.2">
      <c r="L280" s="2">
        <v>44.8</v>
      </c>
    </row>
    <row r="281" spans="12:12" x14ac:dyDescent="0.2">
      <c r="L281" s="2">
        <v>55.8</v>
      </c>
    </row>
    <row r="282" spans="12:12" x14ac:dyDescent="0.2">
      <c r="L282" s="2">
        <v>53.338000000000001</v>
      </c>
    </row>
    <row r="283" spans="12:12" x14ac:dyDescent="0.2">
      <c r="L283" s="2">
        <v>48.773000000000003</v>
      </c>
    </row>
    <row r="284" spans="12:12" x14ac:dyDescent="0.2">
      <c r="L284" s="2">
        <v>46.835000000000001</v>
      </c>
    </row>
    <row r="285" spans="12:12" x14ac:dyDescent="0.2">
      <c r="L285" s="2">
        <v>50.039000000000001</v>
      </c>
    </row>
    <row r="286" spans="12:12" x14ac:dyDescent="0.2">
      <c r="L286" s="2">
        <v>53.037999999999997</v>
      </c>
    </row>
    <row r="287" spans="12:12" x14ac:dyDescent="0.2">
      <c r="L287" s="2">
        <v>54.262</v>
      </c>
    </row>
    <row r="288" spans="12:12" x14ac:dyDescent="0.2">
      <c r="L288" s="2">
        <v>53.682000000000002</v>
      </c>
    </row>
    <row r="289" spans="12:12" x14ac:dyDescent="0.2">
      <c r="L289" s="2">
        <v>50.466000000000001</v>
      </c>
    </row>
    <row r="290" spans="12:12" x14ac:dyDescent="0.2">
      <c r="L290" s="2">
        <v>45.506999999999998</v>
      </c>
    </row>
    <row r="291" spans="12:12" x14ac:dyDescent="0.2">
      <c r="L291" s="2">
        <v>50.539000000000001</v>
      </c>
    </row>
    <row r="292" spans="12:12" x14ac:dyDescent="0.2">
      <c r="L292" s="2">
        <v>46.189</v>
      </c>
    </row>
    <row r="293" spans="12:12" x14ac:dyDescent="0.2">
      <c r="L293" s="2">
        <v>52.198999999999998</v>
      </c>
    </row>
    <row r="294" spans="12:12" x14ac:dyDescent="0.2">
      <c r="L294" s="2">
        <v>50.088000000000001</v>
      </c>
    </row>
    <row r="295" spans="12:12" x14ac:dyDescent="0.2">
      <c r="L295" s="2">
        <v>39.966000000000001</v>
      </c>
    </row>
    <row r="296" spans="12:12" x14ac:dyDescent="0.2">
      <c r="L296" s="2">
        <v>43.872999999999998</v>
      </c>
    </row>
    <row r="297" spans="12:12" x14ac:dyDescent="0.2">
      <c r="L297" s="2">
        <v>54.98</v>
      </c>
    </row>
    <row r="298" spans="12:12" x14ac:dyDescent="0.2">
      <c r="L298" s="2">
        <v>53.613</v>
      </c>
    </row>
    <row r="299" spans="12:12" x14ac:dyDescent="0.2">
      <c r="L299" s="2">
        <v>42.075000000000003</v>
      </c>
    </row>
    <row r="300" spans="12:12" x14ac:dyDescent="0.2">
      <c r="L300" s="2">
        <v>54.543999999999997</v>
      </c>
    </row>
    <row r="301" spans="12:12" x14ac:dyDescent="0.2">
      <c r="L301" s="2">
        <v>46.52</v>
      </c>
    </row>
    <row r="302" spans="12:12" x14ac:dyDescent="0.2">
      <c r="L302" s="2">
        <v>51.07</v>
      </c>
    </row>
    <row r="303" spans="12:12" x14ac:dyDescent="0.2">
      <c r="L303" s="2">
        <v>53.499000000000002</v>
      </c>
    </row>
    <row r="304" spans="12:12" x14ac:dyDescent="0.2">
      <c r="L304" s="2">
        <v>49.595999999999997</v>
      </c>
    </row>
    <row r="305" spans="12:12" x14ac:dyDescent="0.2">
      <c r="L305" s="2">
        <v>53.533000000000001</v>
      </c>
    </row>
    <row r="306" spans="12:12" x14ac:dyDescent="0.2">
      <c r="L306" s="2">
        <v>56.64</v>
      </c>
    </row>
    <row r="307" spans="12:12" x14ac:dyDescent="0.2">
      <c r="L307" s="2">
        <v>61.44</v>
      </c>
    </row>
    <row r="308" spans="12:12" x14ac:dyDescent="0.2">
      <c r="L308" s="2">
        <v>43.253999999999998</v>
      </c>
    </row>
    <row r="309" spans="12:12" x14ac:dyDescent="0.2">
      <c r="L309" s="2">
        <v>48.671999999999997</v>
      </c>
    </row>
    <row r="310" spans="12:12" x14ac:dyDescent="0.2">
      <c r="L310" s="2">
        <v>51.19</v>
      </c>
    </row>
    <row r="311" spans="12:12" x14ac:dyDescent="0.2">
      <c r="L311" s="2">
        <v>52.539000000000001</v>
      </c>
    </row>
    <row r="312" spans="12:12" x14ac:dyDescent="0.2">
      <c r="L312" s="2">
        <v>57.115000000000002</v>
      </c>
    </row>
    <row r="313" spans="12:12" x14ac:dyDescent="0.2">
      <c r="L313" s="2">
        <v>47.679000000000002</v>
      </c>
    </row>
    <row r="314" spans="12:12" x14ac:dyDescent="0.2">
      <c r="L314" s="2">
        <v>49.323</v>
      </c>
    </row>
    <row r="315" spans="12:12" x14ac:dyDescent="0.2">
      <c r="L315" s="2">
        <v>53.773000000000003</v>
      </c>
    </row>
    <row r="316" spans="12:12" x14ac:dyDescent="0.2">
      <c r="L316" s="2">
        <v>45.921999999999997</v>
      </c>
    </row>
    <row r="317" spans="12:12" x14ac:dyDescent="0.2">
      <c r="L317" s="2">
        <v>45.533000000000001</v>
      </c>
    </row>
    <row r="318" spans="12:12" x14ac:dyDescent="0.2">
      <c r="L318" s="2">
        <v>57.093000000000004</v>
      </c>
    </row>
    <row r="319" spans="12:12" x14ac:dyDescent="0.2">
      <c r="L319" s="2">
        <v>49.36</v>
      </c>
    </row>
    <row r="320" spans="12:12" x14ac:dyDescent="0.2">
      <c r="L320" s="2">
        <v>49.298000000000002</v>
      </c>
    </row>
    <row r="321" spans="12:12" x14ac:dyDescent="0.2">
      <c r="L321" s="2">
        <v>52.469000000000001</v>
      </c>
    </row>
    <row r="322" spans="12:12" x14ac:dyDescent="0.2">
      <c r="L322" s="2">
        <v>52.899000000000001</v>
      </c>
    </row>
    <row r="323" spans="12:12" x14ac:dyDescent="0.2">
      <c r="L323" s="2">
        <v>52.07</v>
      </c>
    </row>
    <row r="324" spans="12:12" x14ac:dyDescent="0.2">
      <c r="L324" s="2">
        <v>48.972999999999999</v>
      </c>
    </row>
    <row r="325" spans="12:12" x14ac:dyDescent="0.2">
      <c r="L325" s="2">
        <v>52.198999999999998</v>
      </c>
    </row>
    <row r="326" spans="12:12" x14ac:dyDescent="0.2">
      <c r="L326" s="2">
        <v>50.914000000000001</v>
      </c>
    </row>
    <row r="327" spans="12:12" x14ac:dyDescent="0.2">
      <c r="L327" s="2">
        <v>56.03</v>
      </c>
    </row>
    <row r="328" spans="12:12" x14ac:dyDescent="0.2">
      <c r="L328" s="2">
        <v>54.98</v>
      </c>
    </row>
    <row r="329" spans="12:12" x14ac:dyDescent="0.2">
      <c r="L329" s="2">
        <v>56.694000000000003</v>
      </c>
    </row>
    <row r="330" spans="12:12" x14ac:dyDescent="0.2">
      <c r="L330" s="2">
        <v>51.465000000000003</v>
      </c>
    </row>
    <row r="331" spans="12:12" x14ac:dyDescent="0.2">
      <c r="L331" s="2">
        <v>47.973999999999997</v>
      </c>
    </row>
    <row r="332" spans="12:12" x14ac:dyDescent="0.2">
      <c r="L332" s="2">
        <v>49.707000000000001</v>
      </c>
    </row>
    <row r="333" spans="12:12" x14ac:dyDescent="0.2">
      <c r="L333" s="2">
        <v>47.497999999999998</v>
      </c>
    </row>
    <row r="334" spans="12:12" x14ac:dyDescent="0.2">
      <c r="L334" s="2">
        <v>47.768999999999998</v>
      </c>
    </row>
    <row r="335" spans="12:12" x14ac:dyDescent="0.2">
      <c r="L335" s="2">
        <v>53.027000000000001</v>
      </c>
    </row>
    <row r="336" spans="12:12" x14ac:dyDescent="0.2">
      <c r="L336" s="2">
        <v>51.856999999999999</v>
      </c>
    </row>
    <row r="337" spans="12:12" x14ac:dyDescent="0.2">
      <c r="L337" s="2">
        <v>53.061</v>
      </c>
    </row>
    <row r="338" spans="12:12" x14ac:dyDescent="0.2">
      <c r="L338" s="2">
        <v>48.872999999999998</v>
      </c>
    </row>
    <row r="339" spans="12:12" x14ac:dyDescent="0.2">
      <c r="L339" s="2">
        <v>52.69</v>
      </c>
    </row>
    <row r="340" spans="12:12" x14ac:dyDescent="0.2">
      <c r="L340" s="2">
        <v>50.503</v>
      </c>
    </row>
    <row r="341" spans="12:12" x14ac:dyDescent="0.2">
      <c r="L341" s="2">
        <v>52.421999999999997</v>
      </c>
    </row>
    <row r="342" spans="12:12" x14ac:dyDescent="0.2">
      <c r="L342" s="2">
        <v>47.122</v>
      </c>
    </row>
    <row r="343" spans="12:12" x14ac:dyDescent="0.2">
      <c r="L343" s="2">
        <v>47.793999999999997</v>
      </c>
    </row>
    <row r="344" spans="12:12" x14ac:dyDescent="0.2">
      <c r="L344" s="2">
        <v>53.808</v>
      </c>
    </row>
    <row r="345" spans="12:12" x14ac:dyDescent="0.2">
      <c r="L345" s="2">
        <v>49.941000000000003</v>
      </c>
    </row>
    <row r="346" spans="12:12" x14ac:dyDescent="0.2">
      <c r="L346" s="2">
        <v>54.465000000000003</v>
      </c>
    </row>
    <row r="347" spans="12:12" x14ac:dyDescent="0.2">
      <c r="L347" s="2">
        <v>53.579000000000001</v>
      </c>
    </row>
    <row r="348" spans="12:12" x14ac:dyDescent="0.2">
      <c r="L348" s="2">
        <v>56.271000000000001</v>
      </c>
    </row>
    <row r="349" spans="12:12" x14ac:dyDescent="0.2">
      <c r="L349" s="2">
        <v>40.5</v>
      </c>
    </row>
    <row r="350" spans="12:12" x14ac:dyDescent="0.2">
      <c r="L350" s="2">
        <v>50.002000000000002</v>
      </c>
    </row>
    <row r="351" spans="12:12" x14ac:dyDescent="0.2">
      <c r="L351" s="2">
        <v>53.015000000000001</v>
      </c>
    </row>
    <row r="352" spans="12:12" x14ac:dyDescent="0.2">
      <c r="L352" s="2">
        <v>44.649000000000001</v>
      </c>
    </row>
  </sheetData>
  <autoFilter ref="A1:J1">
    <sortState ref="A2:J70">
      <sortCondition descending="1" ref="A1:A70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2016-04-18T19:42:46Z</dcterms:created>
  <dcterms:modified xsi:type="dcterms:W3CDTF">2016-04-19T12:16:44Z</dcterms:modified>
</cp:coreProperties>
</file>