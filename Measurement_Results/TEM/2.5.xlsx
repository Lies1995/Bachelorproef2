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26812"/>
  <workbookPr/>
  <mc:AlternateContent xmlns:mc="http://schemas.openxmlformats.org/markup-compatibility/2006">
    <mc:Choice Requires="x15">
      <x15ac:absPath xmlns:x15ac="http://schemas.microsoft.com/office/spreadsheetml/2010/11/ac" url="/Users/lies/Documents/Bachelorproef/Measurement_Results/TEM/"/>
    </mc:Choice>
  </mc:AlternateContent>
  <bookViews>
    <workbookView xWindow="0" yWindow="0" windowWidth="28800" windowHeight="18000" tabRatio="500"/>
  </bookViews>
  <sheets>
    <sheet name="Sheet1" sheetId="1" r:id="rId1"/>
  </sheets>
  <definedNames>
    <definedName name="_xlnm._FilterDatabase" localSheetId="0" hidden="1">Sheet1!$K$21:$T$30</definedName>
  </definedNames>
  <calcPr calcId="150000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C53" i="1" l="1"/>
  <c r="C55" i="1"/>
  <c r="C51" i="1"/>
  <c r="C49" i="1"/>
  <c r="A53" i="1"/>
  <c r="A55" i="1"/>
  <c r="A51" i="1"/>
  <c r="A49" i="1"/>
  <c r="A15" i="1"/>
  <c r="A19" i="1"/>
  <c r="A17" i="1"/>
  <c r="A13" i="1"/>
</calcChain>
</file>

<file path=xl/sharedStrings.xml><?xml version="1.0" encoding="utf-8"?>
<sst xmlns="http://schemas.openxmlformats.org/spreadsheetml/2006/main" count="13" uniqueCount="7">
  <si>
    <t>Average</t>
  </si>
  <si>
    <t>STDEV</t>
  </si>
  <si>
    <t>Err_m</t>
  </si>
  <si>
    <t>Count</t>
  </si>
  <si>
    <t>Two Population</t>
  </si>
  <si>
    <t>ERR_M</t>
  </si>
  <si>
    <t>STEDV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</si>
</sst>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4" Type="http://schemas.openxmlformats.org/officeDocument/2006/relationships/sharedStrings" Target="sharedStrings.xml"/><Relationship Id="rId5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5"/>
  <sheetViews>
    <sheetView tabSelected="1" workbookViewId="0">
      <selection activeCell="H1" sqref="H1"/>
    </sheetView>
  </sheetViews>
  <sheetFormatPr baseColWidth="10" defaultRowHeight="16" x14ac:dyDescent="0.2"/>
  <sheetData>
    <row r="1" spans="1:10" x14ac:dyDescent="0.2">
      <c r="A1">
        <v>4.8090000000000002</v>
      </c>
      <c r="B1">
        <v>12.124000000000001</v>
      </c>
      <c r="C1">
        <v>15.728</v>
      </c>
      <c r="D1">
        <v>14.869</v>
      </c>
      <c r="E1">
        <v>13.624000000000001</v>
      </c>
      <c r="F1">
        <v>14.077</v>
      </c>
      <c r="G1">
        <v>12.042999999999999</v>
      </c>
      <c r="H1">
        <v>12.747</v>
      </c>
      <c r="I1">
        <v>13.348000000000001</v>
      </c>
      <c r="J1">
        <v>13.096</v>
      </c>
    </row>
    <row r="2" spans="1:10" x14ac:dyDescent="0.2">
      <c r="A2">
        <v>3.7040000000000002</v>
      </c>
      <c r="B2">
        <v>11.234999999999999</v>
      </c>
      <c r="C2">
        <v>13.61</v>
      </c>
      <c r="D2">
        <v>13.93</v>
      </c>
      <c r="E2">
        <v>13.021000000000001</v>
      </c>
      <c r="F2">
        <v>13.624000000000001</v>
      </c>
      <c r="G2">
        <v>12.801</v>
      </c>
      <c r="H2">
        <v>12.67</v>
      </c>
      <c r="I2">
        <v>13.193</v>
      </c>
    </row>
    <row r="3" spans="1:10" x14ac:dyDescent="0.2">
      <c r="A3">
        <v>3.3420000000000001</v>
      </c>
      <c r="B3">
        <v>3.8340000000000001</v>
      </c>
      <c r="C3">
        <v>12.945</v>
      </c>
      <c r="D3">
        <v>3.2229999999999999</v>
      </c>
      <c r="E3">
        <v>4.5369999999999999</v>
      </c>
      <c r="F3">
        <v>13.566000000000001</v>
      </c>
      <c r="G3">
        <v>2.6930000000000001</v>
      </c>
      <c r="H3">
        <v>2.504</v>
      </c>
    </row>
    <row r="4" spans="1:10" x14ac:dyDescent="0.2">
      <c r="A4">
        <v>3.2530000000000001</v>
      </c>
      <c r="C4">
        <v>12.092000000000001</v>
      </c>
      <c r="D4">
        <v>2.6560000000000001</v>
      </c>
      <c r="E4">
        <v>3.1309999999999998</v>
      </c>
      <c r="F4">
        <v>13.523</v>
      </c>
      <c r="G4">
        <v>1.98</v>
      </c>
      <c r="H4">
        <v>2.504</v>
      </c>
    </row>
    <row r="5" spans="1:10" x14ac:dyDescent="0.2">
      <c r="A5">
        <v>3.0670000000000002</v>
      </c>
      <c r="C5">
        <v>11.339</v>
      </c>
      <c r="E5">
        <v>2.5430000000000001</v>
      </c>
      <c r="F5">
        <v>11.365</v>
      </c>
      <c r="H5">
        <v>2.2999999999999998</v>
      </c>
    </row>
    <row r="6" spans="1:10" x14ac:dyDescent="0.2">
      <c r="A6">
        <v>1.98</v>
      </c>
      <c r="C6">
        <v>10.754</v>
      </c>
      <c r="F6">
        <v>4.2919999999999998</v>
      </c>
      <c r="H6">
        <v>2.214</v>
      </c>
    </row>
    <row r="7" spans="1:10" x14ac:dyDescent="0.2">
      <c r="C7">
        <v>3.2829999999999999</v>
      </c>
      <c r="F7">
        <v>3.2530000000000001</v>
      </c>
      <c r="H7">
        <v>2.077</v>
      </c>
    </row>
    <row r="8" spans="1:10" x14ac:dyDescent="0.2">
      <c r="F8">
        <v>3.2229999999999999</v>
      </c>
    </row>
    <row r="9" spans="1:10" x14ac:dyDescent="0.2">
      <c r="F9">
        <v>2.214</v>
      </c>
    </row>
    <row r="10" spans="1:10" x14ac:dyDescent="0.2">
      <c r="F10">
        <v>2.077</v>
      </c>
    </row>
    <row r="12" spans="1:10" x14ac:dyDescent="0.2">
      <c r="A12" t="s">
        <v>0</v>
      </c>
    </row>
    <row r="13" spans="1:10" x14ac:dyDescent="0.2">
      <c r="A13">
        <f>AVERAGE(A1:J10)</f>
        <v>7.8778979591836746</v>
      </c>
    </row>
    <row r="14" spans="1:10" x14ac:dyDescent="0.2">
      <c r="A14" t="s">
        <v>1</v>
      </c>
    </row>
    <row r="15" spans="1:10" x14ac:dyDescent="0.2">
      <c r="A15">
        <f>STDEV(A1:J10)</f>
        <v>5.1379561364616642</v>
      </c>
    </row>
    <row r="16" spans="1:10" x14ac:dyDescent="0.2">
      <c r="A16" t="s">
        <v>2</v>
      </c>
    </row>
    <row r="17" spans="1:20" x14ac:dyDescent="0.2">
      <c r="A17">
        <f>A15/SQRT(A19)</f>
        <v>0.73399373378023769</v>
      </c>
    </row>
    <row r="18" spans="1:20" x14ac:dyDescent="0.2">
      <c r="A18" t="s">
        <v>3</v>
      </c>
    </row>
    <row r="19" spans="1:20" x14ac:dyDescent="0.2">
      <c r="A19">
        <f>COUNTIF(A1:J10,"&lt;100")</f>
        <v>49</v>
      </c>
    </row>
    <row r="21" spans="1:20" x14ac:dyDescent="0.2">
      <c r="H21">
        <v>14.077</v>
      </c>
      <c r="K21">
        <v>1.98</v>
      </c>
      <c r="M21">
        <v>10.754</v>
      </c>
      <c r="P21">
        <v>4.2919999999999998</v>
      </c>
      <c r="R21">
        <v>2.214</v>
      </c>
    </row>
    <row r="22" spans="1:20" x14ac:dyDescent="0.2">
      <c r="A22" t="s">
        <v>4</v>
      </c>
      <c r="F22">
        <v>4.8090000000000002</v>
      </c>
      <c r="H22">
        <v>13.624000000000001</v>
      </c>
      <c r="K22">
        <v>3.0670000000000002</v>
      </c>
      <c r="M22">
        <v>11.339</v>
      </c>
      <c r="O22">
        <v>2.5430000000000001</v>
      </c>
      <c r="P22">
        <v>11.365</v>
      </c>
      <c r="R22">
        <v>2.2999999999999998</v>
      </c>
    </row>
    <row r="23" spans="1:20" x14ac:dyDescent="0.2">
      <c r="A23">
        <v>4.8090000000000002</v>
      </c>
      <c r="C23">
        <v>12.124000000000001</v>
      </c>
      <c r="F23">
        <v>3.7040000000000002</v>
      </c>
      <c r="H23">
        <v>13.566000000000001</v>
      </c>
      <c r="K23">
        <v>3.2530000000000001</v>
      </c>
      <c r="M23">
        <v>12.092000000000001</v>
      </c>
      <c r="N23">
        <v>2.6560000000000001</v>
      </c>
      <c r="O23">
        <v>3.1309999999999998</v>
      </c>
      <c r="P23">
        <v>13.523</v>
      </c>
      <c r="Q23">
        <v>1.98</v>
      </c>
      <c r="R23">
        <v>2.504</v>
      </c>
    </row>
    <row r="24" spans="1:20" x14ac:dyDescent="0.2">
      <c r="A24">
        <v>3.7040000000000002</v>
      </c>
      <c r="C24">
        <v>11.234999999999999</v>
      </c>
      <c r="F24">
        <v>3.3420000000000001</v>
      </c>
      <c r="H24">
        <v>13.523</v>
      </c>
      <c r="K24">
        <v>3.3420000000000001</v>
      </c>
      <c r="L24">
        <v>3.8340000000000001</v>
      </c>
      <c r="M24">
        <v>12.945</v>
      </c>
      <c r="N24">
        <v>3.2229999999999999</v>
      </c>
      <c r="O24">
        <v>4.5369999999999999</v>
      </c>
      <c r="P24">
        <v>13.566000000000001</v>
      </c>
      <c r="Q24">
        <v>2.6930000000000001</v>
      </c>
      <c r="R24">
        <v>2.504</v>
      </c>
    </row>
    <row r="25" spans="1:20" x14ac:dyDescent="0.2">
      <c r="A25">
        <v>3.2530000000000001</v>
      </c>
      <c r="C25">
        <v>15.728</v>
      </c>
      <c r="F25">
        <v>3.2530000000000001</v>
      </c>
      <c r="H25">
        <v>11.365</v>
      </c>
      <c r="K25">
        <v>3.7040000000000002</v>
      </c>
      <c r="L25">
        <v>11.234999999999999</v>
      </c>
      <c r="M25">
        <v>13.61</v>
      </c>
      <c r="N25">
        <v>13.93</v>
      </c>
      <c r="O25">
        <v>13.021000000000001</v>
      </c>
      <c r="P25">
        <v>13.624000000000001</v>
      </c>
      <c r="Q25">
        <v>12.801</v>
      </c>
      <c r="R25">
        <v>12.67</v>
      </c>
      <c r="S25">
        <v>13.193</v>
      </c>
    </row>
    <row r="26" spans="1:20" x14ac:dyDescent="0.2">
      <c r="A26">
        <v>3.0670000000000002</v>
      </c>
      <c r="C26">
        <v>13.61</v>
      </c>
      <c r="F26">
        <v>3.0670000000000002</v>
      </c>
      <c r="H26">
        <v>4.2919999999999998</v>
      </c>
      <c r="K26">
        <v>4.8090000000000002</v>
      </c>
      <c r="L26">
        <v>12.124000000000001</v>
      </c>
      <c r="M26">
        <v>15.728</v>
      </c>
      <c r="N26">
        <v>14.869</v>
      </c>
      <c r="O26">
        <v>13.624000000000001</v>
      </c>
      <c r="P26">
        <v>14.077</v>
      </c>
      <c r="Q26">
        <v>12.042999999999999</v>
      </c>
      <c r="R26">
        <v>12.747</v>
      </c>
      <c r="S26">
        <v>13.348000000000001</v>
      </c>
      <c r="T26">
        <v>13.096</v>
      </c>
    </row>
    <row r="27" spans="1:20" x14ac:dyDescent="0.2">
      <c r="A27">
        <v>3.3420000000000001</v>
      </c>
      <c r="C27">
        <v>12.945</v>
      </c>
      <c r="F27">
        <v>1.98</v>
      </c>
      <c r="H27">
        <v>3.2530000000000001</v>
      </c>
      <c r="M27">
        <v>3.2829999999999999</v>
      </c>
      <c r="P27">
        <v>3.2530000000000001</v>
      </c>
      <c r="R27">
        <v>2.077</v>
      </c>
    </row>
    <row r="28" spans="1:20" x14ac:dyDescent="0.2">
      <c r="A28">
        <v>1.98</v>
      </c>
      <c r="C28">
        <v>12.092000000000001</v>
      </c>
      <c r="F28">
        <v>12.124000000000001</v>
      </c>
      <c r="H28">
        <v>3.2229999999999999</v>
      </c>
      <c r="P28">
        <v>3.2229999999999999</v>
      </c>
    </row>
    <row r="29" spans="1:20" x14ac:dyDescent="0.2">
      <c r="A29">
        <v>3.8340000000000001</v>
      </c>
      <c r="C29">
        <v>11.339</v>
      </c>
      <c r="F29">
        <v>11.234999999999999</v>
      </c>
      <c r="H29">
        <v>2.214</v>
      </c>
      <c r="P29">
        <v>2.214</v>
      </c>
    </row>
    <row r="30" spans="1:20" x14ac:dyDescent="0.2">
      <c r="A30">
        <v>3.2829999999999999</v>
      </c>
      <c r="C30">
        <v>10.754</v>
      </c>
      <c r="F30">
        <v>3.8340000000000001</v>
      </c>
      <c r="H30">
        <v>2.077</v>
      </c>
      <c r="P30">
        <v>2.077</v>
      </c>
    </row>
    <row r="31" spans="1:20" x14ac:dyDescent="0.2">
      <c r="A31">
        <v>3.2229999999999999</v>
      </c>
      <c r="C31">
        <v>14.869</v>
      </c>
      <c r="F31">
        <v>15.728</v>
      </c>
      <c r="H31">
        <v>12.042999999999999</v>
      </c>
    </row>
    <row r="32" spans="1:20" x14ac:dyDescent="0.2">
      <c r="A32">
        <v>2.6560000000000001</v>
      </c>
      <c r="C32">
        <v>13.93</v>
      </c>
      <c r="F32">
        <v>13.61</v>
      </c>
      <c r="H32">
        <v>12.801</v>
      </c>
    </row>
    <row r="33" spans="1:8" x14ac:dyDescent="0.2">
      <c r="A33">
        <v>2.5430000000000001</v>
      </c>
      <c r="C33">
        <v>13.624000000000001</v>
      </c>
      <c r="F33">
        <v>12.945</v>
      </c>
      <c r="H33">
        <v>2.6930000000000001</v>
      </c>
    </row>
    <row r="34" spans="1:8" x14ac:dyDescent="0.2">
      <c r="A34">
        <v>3.1309999999999998</v>
      </c>
      <c r="C34">
        <v>13.021000000000001</v>
      </c>
      <c r="F34">
        <v>12.092000000000001</v>
      </c>
      <c r="H34">
        <v>1.98</v>
      </c>
    </row>
    <row r="35" spans="1:8" x14ac:dyDescent="0.2">
      <c r="A35">
        <v>4.5369999999999999</v>
      </c>
      <c r="C35">
        <v>14.077</v>
      </c>
      <c r="F35">
        <v>11.339</v>
      </c>
      <c r="H35">
        <v>12.747</v>
      </c>
    </row>
    <row r="36" spans="1:8" x14ac:dyDescent="0.2">
      <c r="A36">
        <v>2.214</v>
      </c>
      <c r="C36">
        <v>13.624000000000001</v>
      </c>
      <c r="F36">
        <v>10.754</v>
      </c>
      <c r="H36">
        <v>12.67</v>
      </c>
    </row>
    <row r="37" spans="1:8" x14ac:dyDescent="0.2">
      <c r="A37">
        <v>2.077</v>
      </c>
      <c r="C37">
        <v>13.566000000000001</v>
      </c>
      <c r="F37">
        <v>3.2829999999999999</v>
      </c>
      <c r="H37">
        <v>2.504</v>
      </c>
    </row>
    <row r="38" spans="1:8" x14ac:dyDescent="0.2">
      <c r="A38">
        <v>3.2530000000000001</v>
      </c>
      <c r="C38">
        <v>13.523</v>
      </c>
      <c r="F38">
        <v>14.869</v>
      </c>
      <c r="H38">
        <v>2.504</v>
      </c>
    </row>
    <row r="39" spans="1:8" x14ac:dyDescent="0.2">
      <c r="A39">
        <v>3.2229999999999999</v>
      </c>
      <c r="C39">
        <v>11.365</v>
      </c>
      <c r="F39">
        <v>13.93</v>
      </c>
      <c r="H39">
        <v>2.2999999999999998</v>
      </c>
    </row>
    <row r="40" spans="1:8" x14ac:dyDescent="0.2">
      <c r="A40">
        <v>4.2919999999999998</v>
      </c>
      <c r="C40">
        <v>12.042999999999999</v>
      </c>
      <c r="F40">
        <v>3.2229999999999999</v>
      </c>
      <c r="H40">
        <v>2.214</v>
      </c>
    </row>
    <row r="41" spans="1:8" x14ac:dyDescent="0.2">
      <c r="A41">
        <v>2.6930000000000001</v>
      </c>
      <c r="C41">
        <v>12.801</v>
      </c>
      <c r="F41">
        <v>2.6560000000000001</v>
      </c>
      <c r="H41">
        <v>2.077</v>
      </c>
    </row>
    <row r="42" spans="1:8" x14ac:dyDescent="0.2">
      <c r="A42">
        <v>1.98</v>
      </c>
      <c r="C42">
        <v>12.747</v>
      </c>
      <c r="F42">
        <v>13.624000000000001</v>
      </c>
      <c r="H42">
        <v>13.348000000000001</v>
      </c>
    </row>
    <row r="43" spans="1:8" x14ac:dyDescent="0.2">
      <c r="A43">
        <v>2.6930000000000001</v>
      </c>
      <c r="C43">
        <v>12.67</v>
      </c>
      <c r="F43">
        <v>13.021000000000001</v>
      </c>
      <c r="H43">
        <v>13.193</v>
      </c>
    </row>
    <row r="44" spans="1:8" x14ac:dyDescent="0.2">
      <c r="A44">
        <v>1.98</v>
      </c>
      <c r="C44">
        <v>13.348000000000001</v>
      </c>
      <c r="F44">
        <v>4.5369999999999999</v>
      </c>
    </row>
    <row r="45" spans="1:8" x14ac:dyDescent="0.2">
      <c r="A45">
        <v>2.504</v>
      </c>
      <c r="C45">
        <v>13.193</v>
      </c>
      <c r="F45">
        <v>3.1309999999999998</v>
      </c>
    </row>
    <row r="46" spans="1:8" x14ac:dyDescent="0.2">
      <c r="A46">
        <v>2.2999999999999998</v>
      </c>
      <c r="C46">
        <v>13.096</v>
      </c>
      <c r="F46">
        <v>2.5430000000000001</v>
      </c>
    </row>
    <row r="47" spans="1:8" x14ac:dyDescent="0.2">
      <c r="A47">
        <v>2.077</v>
      </c>
    </row>
    <row r="48" spans="1:8" x14ac:dyDescent="0.2">
      <c r="A48" t="s">
        <v>0</v>
      </c>
      <c r="C48" t="s">
        <v>0</v>
      </c>
    </row>
    <row r="49" spans="1:3" x14ac:dyDescent="0.2">
      <c r="A49">
        <f>AVERAGE(A23:A47)</f>
        <v>2.9859199999999997</v>
      </c>
      <c r="C49">
        <f>AVERAGE(C46)</f>
        <v>13.096</v>
      </c>
    </row>
    <row r="50" spans="1:3" x14ac:dyDescent="0.2">
      <c r="A50" t="s">
        <v>1</v>
      </c>
      <c r="C50" t="s">
        <v>6</v>
      </c>
    </row>
    <row r="51" spans="1:3" x14ac:dyDescent="0.2">
      <c r="A51">
        <f>STDEV(A23:A47)</f>
        <v>0.807028031318203</v>
      </c>
      <c r="C51">
        <f>STDEV(C23:C46)</f>
        <v>1.1641154756207435</v>
      </c>
    </row>
    <row r="52" spans="1:3" x14ac:dyDescent="0.2">
      <c r="A52" t="s">
        <v>5</v>
      </c>
      <c r="C52" t="s">
        <v>5</v>
      </c>
    </row>
    <row r="53" spans="1:3" x14ac:dyDescent="0.2">
      <c r="A53">
        <f>A51/SQRT(A55)</f>
        <v>0.16140560626364059</v>
      </c>
      <c r="C53">
        <f>C51/SQRT(C55)</f>
        <v>0.23762407641234767</v>
      </c>
    </row>
    <row r="54" spans="1:3" x14ac:dyDescent="0.2">
      <c r="A54" t="s">
        <v>3</v>
      </c>
      <c r="C54" t="s">
        <v>3</v>
      </c>
    </row>
    <row r="55" spans="1:3" x14ac:dyDescent="0.2">
      <c r="A55">
        <f>COUNTIF(A23:A47,"&lt;5")</f>
        <v>25</v>
      </c>
      <c r="C55">
        <f>COUNTIF(C23:C46,"&gt;10")</f>
        <v>24</v>
      </c>
    </row>
  </sheetData>
  <sortState ref="K21:T30">
    <sortCondition ref="K21"/>
  </sortState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2016-04-19T07:03:02Z</dcterms:created>
  <dcterms:modified xsi:type="dcterms:W3CDTF">2016-04-19T12:58:56Z</dcterms:modified>
</cp:coreProperties>
</file>