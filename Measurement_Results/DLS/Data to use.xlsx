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/Documents/Bachelorproef/Measurement_Results/DLS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5" i="1" l="1"/>
  <c r="N34" i="1"/>
  <c r="N33" i="1"/>
  <c r="N32" i="1"/>
  <c r="N31" i="1"/>
  <c r="N27" i="1"/>
  <c r="N26" i="1"/>
  <c r="N25" i="1"/>
  <c r="N24" i="1"/>
  <c r="N19" i="1"/>
  <c r="N18" i="1"/>
  <c r="N17" i="1"/>
  <c r="N15" i="1"/>
  <c r="N16" i="1"/>
  <c r="N14" i="1"/>
  <c r="N9" i="1"/>
  <c r="N8" i="1"/>
  <c r="N7" i="1"/>
  <c r="N6" i="1"/>
  <c r="N4" i="1"/>
  <c r="N3" i="1"/>
  <c r="L25" i="1"/>
  <c r="L34" i="1"/>
  <c r="M35" i="1"/>
  <c r="M34" i="1"/>
  <c r="M33" i="1"/>
  <c r="M32" i="1"/>
  <c r="M31" i="1"/>
  <c r="M26" i="1"/>
  <c r="M27" i="1"/>
  <c r="M25" i="1"/>
  <c r="M24" i="1"/>
  <c r="M16" i="1"/>
  <c r="M17" i="1"/>
  <c r="M18" i="1"/>
  <c r="M19" i="1"/>
  <c r="M15" i="1"/>
  <c r="L35" i="1"/>
  <c r="L33" i="1"/>
  <c r="L32" i="1"/>
  <c r="L31" i="1"/>
  <c r="L27" i="1"/>
  <c r="L26" i="1"/>
  <c r="L24" i="1"/>
  <c r="L15" i="1"/>
  <c r="L16" i="1"/>
  <c r="L17" i="1"/>
  <c r="L18" i="1"/>
  <c r="L19" i="1"/>
  <c r="M4" i="1"/>
  <c r="M6" i="1"/>
  <c r="M7" i="1"/>
  <c r="M8" i="1"/>
  <c r="M9" i="1"/>
  <c r="M14" i="1"/>
  <c r="L4" i="1"/>
  <c r="L5" i="1"/>
  <c r="L6" i="1"/>
  <c r="L7" i="1"/>
  <c r="L8" i="1"/>
  <c r="L9" i="1"/>
  <c r="L14" i="1"/>
  <c r="M3" i="1"/>
  <c r="L3" i="1"/>
</calcChain>
</file>

<file path=xl/sharedStrings.xml><?xml version="1.0" encoding="utf-8"?>
<sst xmlns="http://schemas.openxmlformats.org/spreadsheetml/2006/main" count="29" uniqueCount="17">
  <si>
    <t>NO PEG</t>
  </si>
  <si>
    <t>0.8</t>
  </si>
  <si>
    <t>1.24</t>
  </si>
  <si>
    <t>2.5</t>
  </si>
  <si>
    <t>AV</t>
  </si>
  <si>
    <t>20k PEG</t>
  </si>
  <si>
    <t>sigma</t>
  </si>
  <si>
    <t>Variatie 20k PEG concentratie</t>
  </si>
  <si>
    <t>Concentration</t>
  </si>
  <si>
    <t>5/10</t>
  </si>
  <si>
    <t>6/10</t>
  </si>
  <si>
    <t>7/10</t>
  </si>
  <si>
    <t>8/10</t>
  </si>
  <si>
    <t>9/10</t>
  </si>
  <si>
    <t>After Centrifuge</t>
  </si>
  <si>
    <t>10k</t>
  </si>
  <si>
    <t>sigma_m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</si>
</sst>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zoomScale="98" workbookViewId="0">
      <selection activeCell="N26" sqref="N26"/>
    </sheetView>
  </sheetViews>
  <sheetFormatPr baseColWidth="10" defaultRowHeight="16" x14ac:dyDescent="0.2"/>
  <sheetData>
    <row r="1" spans="1:14" x14ac:dyDescent="0.2">
      <c r="A1" t="s">
        <v>0</v>
      </c>
    </row>
    <row r="2" spans="1:14" x14ac:dyDescent="0.2">
      <c r="L2" t="s">
        <v>4</v>
      </c>
      <c r="M2" t="s">
        <v>6</v>
      </c>
      <c r="N2" t="s">
        <v>16</v>
      </c>
    </row>
    <row r="3" spans="1:14" x14ac:dyDescent="0.2">
      <c r="A3" t="s">
        <v>1</v>
      </c>
      <c r="B3">
        <v>55.05</v>
      </c>
      <c r="C3">
        <v>50.64</v>
      </c>
      <c r="D3">
        <v>45.47</v>
      </c>
      <c r="E3">
        <v>63.91</v>
      </c>
      <c r="F3">
        <v>58.85</v>
      </c>
      <c r="G3">
        <v>46.78</v>
      </c>
      <c r="H3">
        <v>49.44</v>
      </c>
      <c r="I3">
        <v>47.04</v>
      </c>
      <c r="J3">
        <v>44.79</v>
      </c>
      <c r="K3">
        <v>45.56</v>
      </c>
      <c r="L3">
        <f>AVERAGE(B3:K3)</f>
        <v>50.753000000000007</v>
      </c>
      <c r="M3">
        <f>STDEV(B3:K3)</f>
        <v>6.4882355930646067</v>
      </c>
      <c r="N3">
        <f>M3/SQRT(10)</f>
        <v>2.0517602469857539</v>
      </c>
    </row>
    <row r="4" spans="1:14" x14ac:dyDescent="0.2">
      <c r="B4">
        <v>5.45</v>
      </c>
      <c r="C4">
        <v>4.57</v>
      </c>
      <c r="D4">
        <v>3.19</v>
      </c>
      <c r="E4">
        <v>8.0399999999999991</v>
      </c>
      <c r="F4">
        <v>5.48</v>
      </c>
      <c r="G4">
        <v>0.95</v>
      </c>
      <c r="H4">
        <v>0.93</v>
      </c>
      <c r="I4">
        <v>2.35</v>
      </c>
      <c r="J4">
        <v>0.89</v>
      </c>
      <c r="K4">
        <v>0.99</v>
      </c>
      <c r="L4">
        <f t="shared" ref="L4:L19" si="0">AVERAGE(B4:K4)</f>
        <v>3.2840000000000003</v>
      </c>
      <c r="M4">
        <f t="shared" ref="M4:M27" si="1">STDEV(B4:K4)</f>
        <v>2.5088961716260796</v>
      </c>
      <c r="N4">
        <f>M4/SQRT(10)</f>
        <v>0.79338263152151234</v>
      </c>
    </row>
    <row r="5" spans="1:14" x14ac:dyDescent="0.2">
      <c r="I5">
        <v>0.45</v>
      </c>
      <c r="L5">
        <f t="shared" si="0"/>
        <v>0.45</v>
      </c>
    </row>
    <row r="6" spans="1:14" x14ac:dyDescent="0.2">
      <c r="A6" t="s">
        <v>2</v>
      </c>
      <c r="B6">
        <v>32.44</v>
      </c>
      <c r="C6">
        <v>33.28</v>
      </c>
      <c r="D6">
        <v>32.86</v>
      </c>
      <c r="E6">
        <v>32.26</v>
      </c>
      <c r="F6">
        <v>35.909999999999997</v>
      </c>
      <c r="G6">
        <v>26.42</v>
      </c>
      <c r="H6">
        <v>28.49</v>
      </c>
      <c r="J6">
        <v>24.87</v>
      </c>
      <c r="K6">
        <v>26.97</v>
      </c>
      <c r="L6">
        <f t="shared" si="0"/>
        <v>30.388888888888889</v>
      </c>
      <c r="M6">
        <f t="shared" si="1"/>
        <v>3.7775734421862786</v>
      </c>
      <c r="N6">
        <f>M6/SQRT(9)</f>
        <v>1.2591911473954263</v>
      </c>
    </row>
    <row r="7" spans="1:14" x14ac:dyDescent="0.2">
      <c r="D7">
        <v>5.77</v>
      </c>
      <c r="E7">
        <v>3.31</v>
      </c>
      <c r="F7">
        <v>4.13</v>
      </c>
      <c r="G7">
        <v>1.28</v>
      </c>
      <c r="H7">
        <v>10.47</v>
      </c>
      <c r="L7">
        <f t="shared" si="0"/>
        <v>4.992</v>
      </c>
      <c r="M7">
        <f t="shared" si="1"/>
        <v>3.4628340994047058</v>
      </c>
      <c r="N7">
        <f>M7/SQRT(5)</f>
        <v>1.5486264882146372</v>
      </c>
    </row>
    <row r="8" spans="1:14" x14ac:dyDescent="0.2">
      <c r="A8" t="s">
        <v>3</v>
      </c>
      <c r="B8">
        <v>35.07</v>
      </c>
      <c r="C8">
        <v>29.73</v>
      </c>
      <c r="D8">
        <v>34.39</v>
      </c>
      <c r="E8">
        <v>20.85</v>
      </c>
      <c r="F8">
        <v>21.16</v>
      </c>
      <c r="G8">
        <v>27.04</v>
      </c>
      <c r="H8">
        <v>25.79</v>
      </c>
      <c r="I8">
        <v>29.76</v>
      </c>
      <c r="J8">
        <v>31.29</v>
      </c>
      <c r="K8">
        <v>28.6</v>
      </c>
      <c r="L8">
        <f t="shared" si="0"/>
        <v>28.367999999999995</v>
      </c>
      <c r="M8">
        <f t="shared" si="1"/>
        <v>4.835644964451224</v>
      </c>
      <c r="N8">
        <f>M8/SQRT(10)</f>
        <v>1.5291652043589821</v>
      </c>
    </row>
    <row r="9" spans="1:14" x14ac:dyDescent="0.2">
      <c r="B9">
        <v>13.38</v>
      </c>
      <c r="C9">
        <v>11.3</v>
      </c>
      <c r="D9">
        <v>14.28</v>
      </c>
      <c r="F9">
        <v>3.12</v>
      </c>
      <c r="H9">
        <v>9.34</v>
      </c>
      <c r="I9">
        <v>7.16</v>
      </c>
      <c r="J9">
        <v>9.31</v>
      </c>
      <c r="L9">
        <f t="shared" si="0"/>
        <v>9.6985714285714284</v>
      </c>
      <c r="M9">
        <f t="shared" si="1"/>
        <v>3.8102599586354939</v>
      </c>
      <c r="N9">
        <f>M9/SQRT(7)</f>
        <v>1.4401428972938244</v>
      </c>
    </row>
    <row r="12" spans="1:14" x14ac:dyDescent="0.2">
      <c r="A12" t="s">
        <v>5</v>
      </c>
    </row>
    <row r="14" spans="1:14" x14ac:dyDescent="0.2">
      <c r="A14" t="s">
        <v>1</v>
      </c>
      <c r="B14">
        <v>73.37</v>
      </c>
      <c r="C14">
        <v>79.02</v>
      </c>
      <c r="D14">
        <v>77.03</v>
      </c>
      <c r="E14">
        <v>76.5</v>
      </c>
      <c r="F14">
        <v>77.260000000000005</v>
      </c>
      <c r="G14">
        <v>74.94</v>
      </c>
      <c r="H14">
        <v>74.14</v>
      </c>
      <c r="I14">
        <v>76.58</v>
      </c>
      <c r="J14">
        <v>79.02</v>
      </c>
      <c r="K14">
        <v>73.53</v>
      </c>
      <c r="L14">
        <f t="shared" si="0"/>
        <v>76.138999999999996</v>
      </c>
      <c r="M14">
        <f t="shared" si="1"/>
        <v>2.0785542518245155</v>
      </c>
      <c r="N14">
        <f>M14/SQRT(10)</f>
        <v>0.65729656759926647</v>
      </c>
    </row>
    <row r="15" spans="1:14" x14ac:dyDescent="0.2">
      <c r="B15">
        <v>4.46</v>
      </c>
      <c r="C15">
        <v>5.68</v>
      </c>
      <c r="D15">
        <v>6.23</v>
      </c>
      <c r="E15">
        <v>2.75</v>
      </c>
      <c r="F15">
        <v>4.3</v>
      </c>
      <c r="H15">
        <v>3.91</v>
      </c>
      <c r="J15">
        <v>8.73</v>
      </c>
      <c r="L15">
        <f t="shared" si="0"/>
        <v>5.1514285714285721</v>
      </c>
      <c r="M15">
        <f t="shared" si="1"/>
        <v>1.9476432644902606</v>
      </c>
      <c r="N15">
        <f>M15/SQRT(7)</f>
        <v>0.73613996007303228</v>
      </c>
    </row>
    <row r="16" spans="1:14" x14ac:dyDescent="0.2">
      <c r="A16" t="s">
        <v>2</v>
      </c>
      <c r="B16">
        <v>59.45</v>
      </c>
      <c r="C16">
        <v>64.67</v>
      </c>
      <c r="D16">
        <v>57.21</v>
      </c>
      <c r="E16">
        <v>64.540000000000006</v>
      </c>
      <c r="F16">
        <v>66.989999999999995</v>
      </c>
      <c r="G16">
        <v>37.83</v>
      </c>
      <c r="H16">
        <v>69.489999999999995</v>
      </c>
      <c r="I16">
        <v>67.680000000000007</v>
      </c>
      <c r="J16">
        <v>65.989999999999995</v>
      </c>
      <c r="K16">
        <v>64.819999999999993</v>
      </c>
      <c r="L16">
        <f t="shared" si="0"/>
        <v>61.867000000000004</v>
      </c>
      <c r="M16">
        <f t="shared" si="1"/>
        <v>9.2145670302816978</v>
      </c>
      <c r="N16">
        <f t="shared" ref="N15:N19" si="2">M16/SQRT(10)</f>
        <v>2.9139019467983895</v>
      </c>
    </row>
    <row r="17" spans="1:14" x14ac:dyDescent="0.2">
      <c r="H17">
        <v>9.4</v>
      </c>
      <c r="I17">
        <v>8.77</v>
      </c>
      <c r="J17">
        <v>3.92</v>
      </c>
      <c r="L17">
        <f t="shared" si="0"/>
        <v>7.3633333333333342</v>
      </c>
      <c r="M17">
        <f t="shared" si="1"/>
        <v>2.9986052313256071</v>
      </c>
      <c r="N17">
        <f>M17/SQRT(3)</f>
        <v>1.7312455374992595</v>
      </c>
    </row>
    <row r="18" spans="1:14" x14ac:dyDescent="0.2">
      <c r="A18" t="s">
        <v>3</v>
      </c>
      <c r="B18">
        <v>50.08</v>
      </c>
      <c r="C18">
        <v>50.6</v>
      </c>
      <c r="D18">
        <v>55.69</v>
      </c>
      <c r="E18">
        <v>50.73</v>
      </c>
      <c r="F18">
        <v>67.92</v>
      </c>
      <c r="G18">
        <v>77.8</v>
      </c>
      <c r="H18">
        <v>79.02</v>
      </c>
      <c r="I18">
        <v>82.14</v>
      </c>
      <c r="J18">
        <v>80.02</v>
      </c>
      <c r="L18">
        <f t="shared" si="0"/>
        <v>66</v>
      </c>
      <c r="M18">
        <f t="shared" si="1"/>
        <v>14.140289070595429</v>
      </c>
      <c r="N18">
        <f>M18/SQRT(9)</f>
        <v>4.7134296901984767</v>
      </c>
    </row>
    <row r="19" spans="1:14" x14ac:dyDescent="0.2">
      <c r="F19">
        <v>22.19</v>
      </c>
      <c r="H19">
        <v>8.8000000000000007</v>
      </c>
      <c r="J19">
        <v>11.16</v>
      </c>
      <c r="L19">
        <f t="shared" si="0"/>
        <v>14.050000000000002</v>
      </c>
      <c r="M19">
        <f t="shared" si="1"/>
        <v>7.1475240468290853</v>
      </c>
      <c r="N19">
        <f>M19/SQRT(3)</f>
        <v>4.126624932476096</v>
      </c>
    </row>
    <row r="21" spans="1:14" x14ac:dyDescent="0.2">
      <c r="A21" t="s">
        <v>7</v>
      </c>
    </row>
    <row r="23" spans="1:14" x14ac:dyDescent="0.2">
      <c r="A23" s="1" t="s">
        <v>8</v>
      </c>
      <c r="L23" s="2" t="s">
        <v>4</v>
      </c>
      <c r="M23" t="s">
        <v>6</v>
      </c>
      <c r="N23" s="3"/>
    </row>
    <row r="24" spans="1:14" x14ac:dyDescent="0.2">
      <c r="A24" s="1" t="s">
        <v>9</v>
      </c>
      <c r="B24">
        <v>50.97</v>
      </c>
      <c r="C24">
        <v>49.92</v>
      </c>
      <c r="D24">
        <v>57.4</v>
      </c>
      <c r="E24">
        <v>50.71</v>
      </c>
      <c r="F24">
        <v>50.66</v>
      </c>
      <c r="L24">
        <f>AVERAGE(B24:F24)</f>
        <v>51.931999999999995</v>
      </c>
      <c r="M24">
        <f>STDEV(B24:K24)</f>
        <v>3.0815531798104665</v>
      </c>
      <c r="N24">
        <f>M24/SQRT(5)</f>
        <v>1.378112477267367</v>
      </c>
    </row>
    <row r="25" spans="1:14" x14ac:dyDescent="0.2">
      <c r="A25" s="1" t="s">
        <v>10</v>
      </c>
      <c r="B25">
        <v>72.5</v>
      </c>
      <c r="C25">
        <v>81.08</v>
      </c>
      <c r="D25">
        <v>101.81</v>
      </c>
      <c r="E25">
        <v>108.99</v>
      </c>
      <c r="F25">
        <v>64.61</v>
      </c>
      <c r="G25">
        <v>67.55</v>
      </c>
      <c r="H25">
        <v>71.709999999999994</v>
      </c>
      <c r="I25">
        <v>72.72</v>
      </c>
      <c r="J25">
        <v>87</v>
      </c>
      <c r="L25">
        <f>AVERAGE(B25:K25)</f>
        <v>80.885555555555555</v>
      </c>
      <c r="M25">
        <f t="shared" si="1"/>
        <v>15.528328235124908</v>
      </c>
      <c r="N25">
        <f>M25/SQRT(9)</f>
        <v>5.1761094117083024</v>
      </c>
    </row>
    <row r="26" spans="1:14" x14ac:dyDescent="0.2">
      <c r="A26" s="1" t="s">
        <v>11</v>
      </c>
      <c r="B26">
        <v>56.03</v>
      </c>
      <c r="C26">
        <v>65.97</v>
      </c>
      <c r="D26">
        <v>49.39</v>
      </c>
      <c r="E26">
        <v>91.42</v>
      </c>
      <c r="F26">
        <v>63.4</v>
      </c>
      <c r="L26">
        <f>AVERAGE(B26:F26)</f>
        <v>65.24199999999999</v>
      </c>
      <c r="M26">
        <f t="shared" si="1"/>
        <v>16.01060180005738</v>
      </c>
      <c r="N26">
        <f>M26/SQRT(5)</f>
        <v>7.1601587971217588</v>
      </c>
    </row>
    <row r="27" spans="1:14" x14ac:dyDescent="0.2">
      <c r="A27" s="1" t="s">
        <v>12</v>
      </c>
      <c r="B27">
        <v>95.44</v>
      </c>
      <c r="C27">
        <v>108.72</v>
      </c>
      <c r="D27">
        <v>104.71</v>
      </c>
      <c r="E27">
        <v>99.4</v>
      </c>
      <c r="F27">
        <v>100.07</v>
      </c>
      <c r="G27">
        <v>74.349999999999994</v>
      </c>
      <c r="H27">
        <v>64.319999999999993</v>
      </c>
      <c r="I27">
        <v>58.15</v>
      </c>
      <c r="J27">
        <v>67.209999999999994</v>
      </c>
      <c r="K27">
        <v>66.739999999999995</v>
      </c>
      <c r="L27">
        <f>AVERAGE(B27:K27)</f>
        <v>83.911000000000001</v>
      </c>
      <c r="M27">
        <f t="shared" si="1"/>
        <v>19.421182278921872</v>
      </c>
      <c r="N27">
        <f>M27/SQRT(10)</f>
        <v>6.1415170854692649</v>
      </c>
    </row>
    <row r="28" spans="1:14" x14ac:dyDescent="0.2">
      <c r="A28" s="1" t="s">
        <v>13</v>
      </c>
    </row>
    <row r="29" spans="1:14" x14ac:dyDescent="0.2">
      <c r="A29" s="1"/>
    </row>
    <row r="30" spans="1:14" x14ac:dyDescent="0.2">
      <c r="A30" s="1" t="s">
        <v>14</v>
      </c>
    </row>
    <row r="31" spans="1:14" x14ac:dyDescent="0.2">
      <c r="A31" s="1" t="s">
        <v>9</v>
      </c>
      <c r="B31">
        <v>63.97</v>
      </c>
      <c r="C31">
        <v>84.15</v>
      </c>
      <c r="D31">
        <v>71.86</v>
      </c>
      <c r="E31">
        <v>62.97</v>
      </c>
      <c r="F31">
        <v>63.78</v>
      </c>
      <c r="G31">
        <v>64.2</v>
      </c>
      <c r="H31">
        <v>78.349999999999994</v>
      </c>
      <c r="I31">
        <v>60.35</v>
      </c>
      <c r="L31">
        <f>AVERAGE(B31:I31)</f>
        <v>68.703749999999999</v>
      </c>
      <c r="M31">
        <f>STDEV(B31:K31)</f>
        <v>8.5456353730176531</v>
      </c>
      <c r="N31">
        <f>M31/SQRT(8)</f>
        <v>3.0213383609042066</v>
      </c>
    </row>
    <row r="32" spans="1:14" x14ac:dyDescent="0.2">
      <c r="A32" s="1" t="s">
        <v>10</v>
      </c>
      <c r="B32">
        <v>57.6</v>
      </c>
      <c r="C32">
        <v>56.52</v>
      </c>
      <c r="D32">
        <v>53.93</v>
      </c>
      <c r="E32">
        <v>83.29</v>
      </c>
      <c r="F32">
        <v>74.48</v>
      </c>
      <c r="L32">
        <f>AVERAGE(B32:F32)</f>
        <v>65.164000000000016</v>
      </c>
      <c r="M32">
        <f>STDEV(B32:K32)</f>
        <v>12.975701522461105</v>
      </c>
      <c r="N32">
        <f>M32/SQRT(5)</f>
        <v>5.8029101319941088</v>
      </c>
    </row>
    <row r="33" spans="1:14" x14ac:dyDescent="0.2">
      <c r="A33" s="1" t="s">
        <v>11</v>
      </c>
      <c r="B33">
        <v>64.17</v>
      </c>
      <c r="C33">
        <v>56.61</v>
      </c>
      <c r="D33">
        <v>74.84</v>
      </c>
      <c r="E33">
        <v>44.64</v>
      </c>
      <c r="F33">
        <v>57.74</v>
      </c>
      <c r="G33">
        <v>53.11</v>
      </c>
      <c r="H33">
        <v>55.8</v>
      </c>
      <c r="I33">
        <v>56.87</v>
      </c>
      <c r="J33">
        <v>55.75</v>
      </c>
      <c r="L33">
        <f>AVERAGE(B33:J33)</f>
        <v>57.725555555555552</v>
      </c>
      <c r="M33">
        <f>STDEV(B33:K33)</f>
        <v>8.1896079135559354</v>
      </c>
      <c r="N33">
        <f>M33/SQRT(9)</f>
        <v>2.7298693045186453</v>
      </c>
    </row>
    <row r="34" spans="1:14" x14ac:dyDescent="0.2">
      <c r="A34" s="1" t="s">
        <v>12</v>
      </c>
      <c r="B34">
        <v>72.09</v>
      </c>
      <c r="C34">
        <v>85.28</v>
      </c>
      <c r="D34">
        <v>59.72</v>
      </c>
      <c r="L34">
        <f>AVERAGE(B34:K34)</f>
        <v>72.36333333333333</v>
      </c>
      <c r="M34">
        <f>STDEV(B34:K34)</f>
        <v>12.782192039448155</v>
      </c>
      <c r="N34">
        <f>M34/SQRT(3)</f>
        <v>7.3798020148088845</v>
      </c>
    </row>
    <row r="35" spans="1:14" x14ac:dyDescent="0.2">
      <c r="A35" s="1" t="s">
        <v>13</v>
      </c>
      <c r="B35">
        <v>60.77</v>
      </c>
      <c r="C35">
        <v>54.65</v>
      </c>
      <c r="D35">
        <v>52.26</v>
      </c>
      <c r="E35">
        <v>57.7</v>
      </c>
      <c r="F35">
        <v>61.97</v>
      </c>
      <c r="G35">
        <v>50.1</v>
      </c>
      <c r="H35">
        <v>53.13</v>
      </c>
      <c r="I35">
        <v>59.63</v>
      </c>
      <c r="J35">
        <v>58.65</v>
      </c>
      <c r="L35">
        <f>AVERAGE(B35:J35)</f>
        <v>56.54</v>
      </c>
      <c r="M35">
        <f>STDEV(B35:K35)</f>
        <v>4.1490330198734267</v>
      </c>
      <c r="N35">
        <f>M35/SQRT(9)</f>
        <v>1.3830110066244756</v>
      </c>
    </row>
    <row r="38" spans="1:14" x14ac:dyDescent="0.2">
      <c r="A38" s="1" t="s">
        <v>15</v>
      </c>
    </row>
    <row r="40" spans="1:14" x14ac:dyDescent="0.2">
      <c r="A40" t="s">
        <v>1</v>
      </c>
    </row>
    <row r="42" spans="1:14" x14ac:dyDescent="0.2">
      <c r="A42" t="s">
        <v>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2016-04-11T15:00:03Z</dcterms:created>
  <dcterms:modified xsi:type="dcterms:W3CDTF">2016-04-11T15:53:36Z</dcterms:modified>
</cp:coreProperties>
</file>