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jpeg" ContentType="image/jpeg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package/2006/relationships/metadata/core-properties" Target="docProps/core.xml"/><Relationship Id="rId4" Type="http://schemas.openxmlformats.org/officeDocument/2006/relationships/extended-properties" Target="docProps/app.xml"/><Relationship Id="rId1" Type="http://schemas.openxmlformats.org/officeDocument/2006/relationships/officeDocument" Target="xl/workbook.xml"/><Relationship Id="rId2" Type="http://schemas.openxmlformats.org/package/2006/relationships/metadata/thumbnail" Target="docProps/thumbnail.jpeg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6" rupBuild="26812"/>
  <workbookPr/>
  <mc:AlternateContent xmlns:mc="http://schemas.openxmlformats.org/markup-compatibility/2006">
    <mc:Choice Requires="x15">
      <x15ac:absPath xmlns:x15ac="http://schemas.microsoft.com/office/spreadsheetml/2010/11/ac" url="/Users/lies/Documents/Bachelorproef/Measurement_Results/DLS/"/>
    </mc:Choice>
  </mc:AlternateContent>
  <bookViews>
    <workbookView xWindow="14440" yWindow="0" windowWidth="14360" windowHeight="18000" tabRatio="500"/>
  </bookViews>
  <sheets>
    <sheet name="Sheet1" sheetId="1" r:id="rId1"/>
  </sheets>
  <calcPr calcId="150000" concurrentCalc="0"/>
  <extLst>
    <ext xmlns:mx="http://schemas.microsoft.com/office/mac/excel/2008/main" uri="{7523E5D3-25F3-A5E0-1632-64F254C22452}">
      <mx:ArchID Flags="2"/>
    </ext>
  </extLst>
</workbook>
</file>

<file path=xl/calcChain.xml><?xml version="1.0" encoding="utf-8"?>
<calcChain xmlns="http://schemas.openxmlformats.org/spreadsheetml/2006/main">
  <c r="N52" i="1" l="1"/>
  <c r="N53" i="1"/>
  <c r="L51" i="1"/>
  <c r="M51" i="1"/>
  <c r="M43" i="1"/>
  <c r="N43" i="1"/>
  <c r="N44" i="1"/>
  <c r="N42" i="1"/>
  <c r="M42" i="1"/>
  <c r="L62" i="1"/>
  <c r="N51" i="1"/>
  <c r="M44" i="1"/>
  <c r="L44" i="1"/>
  <c r="L42" i="1"/>
  <c r="M62" i="1"/>
  <c r="N62" i="1"/>
  <c r="M63" i="1"/>
  <c r="N63" i="1"/>
  <c r="N61" i="1"/>
  <c r="M61" i="1"/>
  <c r="L61" i="1"/>
  <c r="L63" i="1"/>
  <c r="N60" i="1"/>
  <c r="M60" i="1"/>
  <c r="L60" i="1"/>
  <c r="N58" i="1"/>
  <c r="M58" i="1"/>
  <c r="L58" i="1"/>
  <c r="M52" i="1"/>
  <c r="M53" i="1"/>
  <c r="L53" i="1"/>
  <c r="M50" i="1"/>
  <c r="N50" i="1"/>
  <c r="L50" i="1"/>
  <c r="L52" i="1"/>
  <c r="M49" i="1"/>
  <c r="N49" i="1"/>
  <c r="L49" i="1"/>
  <c r="M45" i="1"/>
  <c r="N45" i="1"/>
  <c r="L45" i="1"/>
  <c r="M41" i="1"/>
  <c r="N41" i="1"/>
  <c r="L41" i="1"/>
  <c r="L43" i="1"/>
  <c r="M40" i="1"/>
  <c r="N40" i="1"/>
  <c r="L40" i="1"/>
  <c r="L3" i="1"/>
  <c r="M29" i="1"/>
  <c r="N29" i="1"/>
  <c r="L28" i="1"/>
  <c r="L29" i="1"/>
  <c r="L26" i="1"/>
  <c r="L27" i="1"/>
  <c r="M35" i="1"/>
  <c r="N35" i="1"/>
  <c r="M34" i="1"/>
  <c r="N34" i="1"/>
  <c r="M33" i="1"/>
  <c r="N33" i="1"/>
  <c r="M32" i="1"/>
  <c r="N32" i="1"/>
  <c r="M31" i="1"/>
  <c r="N31" i="1"/>
  <c r="M27" i="1"/>
  <c r="N27" i="1"/>
  <c r="M26" i="1"/>
  <c r="N26" i="1"/>
  <c r="M25" i="1"/>
  <c r="N25" i="1"/>
  <c r="M24" i="1"/>
  <c r="N24" i="1"/>
  <c r="M19" i="1"/>
  <c r="N19" i="1"/>
  <c r="M18" i="1"/>
  <c r="N18" i="1"/>
  <c r="M17" i="1"/>
  <c r="N17" i="1"/>
  <c r="M15" i="1"/>
  <c r="N15" i="1"/>
  <c r="M16" i="1"/>
  <c r="N16" i="1"/>
  <c r="M14" i="1"/>
  <c r="N14" i="1"/>
  <c r="M9" i="1"/>
  <c r="N9" i="1"/>
  <c r="M8" i="1"/>
  <c r="N8" i="1"/>
  <c r="M7" i="1"/>
  <c r="N7" i="1"/>
  <c r="M6" i="1"/>
  <c r="N6" i="1"/>
  <c r="M4" i="1"/>
  <c r="N4" i="1"/>
  <c r="M3" i="1"/>
  <c r="N3" i="1"/>
  <c r="L25" i="1"/>
  <c r="L34" i="1"/>
  <c r="L35" i="1"/>
  <c r="L33" i="1"/>
  <c r="L32" i="1"/>
  <c r="L31" i="1"/>
  <c r="L24" i="1"/>
  <c r="L15" i="1"/>
  <c r="L16" i="1"/>
  <c r="L17" i="1"/>
  <c r="L18" i="1"/>
  <c r="L19" i="1"/>
  <c r="L4" i="1"/>
  <c r="L5" i="1"/>
  <c r="L6" i="1"/>
  <c r="L7" i="1"/>
  <c r="L8" i="1"/>
  <c r="L9" i="1"/>
  <c r="L14" i="1"/>
</calcChain>
</file>

<file path=xl/sharedStrings.xml><?xml version="1.0" encoding="utf-8"?>
<sst xmlns="http://schemas.openxmlformats.org/spreadsheetml/2006/main" count="39" uniqueCount="19">
  <si>
    <t>NO PEG</t>
  </si>
  <si>
    <t>0.8</t>
  </si>
  <si>
    <t>1.24</t>
  </si>
  <si>
    <t>2.5</t>
  </si>
  <si>
    <t>AV</t>
  </si>
  <si>
    <t>20k PEG</t>
  </si>
  <si>
    <t>sigma</t>
  </si>
  <si>
    <t>Concentration</t>
  </si>
  <si>
    <t>5/10</t>
  </si>
  <si>
    <t>6/10</t>
  </si>
  <si>
    <t>7/10</t>
  </si>
  <si>
    <t>8/10</t>
  </si>
  <si>
    <t>9/10</t>
  </si>
  <si>
    <t>After Centrifuge</t>
  </si>
  <si>
    <t>10k</t>
  </si>
  <si>
    <t>sigma_m</t>
  </si>
  <si>
    <t>5k</t>
  </si>
  <si>
    <t>1k</t>
  </si>
  <si>
    <t>Variatie 20k PEG concentratie voor 2.5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</si>
</sst>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mc:Ignorable="x14ac">
  <fonts count="2" x14ac:knownFonts="1">
    <font>
      <sz val="12"/>
      <color theme="1"/>
      <name val="Calibri"/>
      <family val="2"/>
      <scheme val="minor"/>
    </font>
    <font>
      <b/>
      <sz val="12"/>
      <color theme="1"/>
      <name val="Calibri"/>
      <family val="2"/>
      <scheme val="minor"/>
    </font>
  </fonts>
  <fills count="4">
    <fill>
      <patternFill patternType="none"/>
    </fill>
    <fill>
      <patternFill patternType="gray125"/>
    </fill>
    <fill>
      <patternFill patternType="solid">
        <fgColor theme="7"/>
        <bgColor indexed="64"/>
      </patternFill>
    </fill>
    <fill>
      <patternFill patternType="solid">
        <fgColor theme="9"/>
        <bgColor indexed="64"/>
      </patternFill>
    </fill>
  </fills>
  <borders count="9">
    <border>
      <left/>
      <right/>
      <top/>
      <bottom/>
      <diagonal/>
    </border>
    <border>
      <left style="medium">
        <color auto="1"/>
      </left>
      <right/>
      <top style="medium">
        <color auto="1"/>
      </top>
      <bottom/>
      <diagonal/>
    </border>
    <border>
      <left/>
      <right/>
      <top style="medium">
        <color auto="1"/>
      </top>
      <bottom/>
      <diagonal/>
    </border>
    <border>
      <left/>
      <right style="medium">
        <color auto="1"/>
      </right>
      <top style="medium">
        <color auto="1"/>
      </top>
      <bottom/>
      <diagonal/>
    </border>
    <border>
      <left style="medium">
        <color auto="1"/>
      </left>
      <right/>
      <top/>
      <bottom/>
      <diagonal/>
    </border>
    <border>
      <left/>
      <right style="medium">
        <color auto="1"/>
      </right>
      <top/>
      <bottom/>
      <diagonal/>
    </border>
    <border>
      <left style="medium">
        <color auto="1"/>
      </left>
      <right/>
      <top/>
      <bottom style="medium">
        <color auto="1"/>
      </bottom>
      <diagonal/>
    </border>
    <border>
      <left/>
      <right/>
      <top/>
      <bottom style="medium">
        <color auto="1"/>
      </bottom>
      <diagonal/>
    </border>
    <border>
      <left/>
      <right style="medium">
        <color auto="1"/>
      </right>
      <top/>
      <bottom style="medium">
        <color auto="1"/>
      </bottom>
      <diagonal/>
    </border>
  </borders>
  <cellStyleXfs count="1">
    <xf numFmtId="0" fontId="0" fillId="0" borderId="0"/>
  </cellStyleXfs>
  <cellXfs count="20">
    <xf numFmtId="0" fontId="0" fillId="0" borderId="0" xfId="0"/>
    <xf numFmtId="49" fontId="0" fillId="0" borderId="0" xfId="0" applyNumberFormat="1"/>
    <xf numFmtId="0" fontId="0" fillId="0" borderId="0" xfId="0" applyAlignment="1">
      <alignment horizontal="center" vertical="center"/>
    </xf>
    <xf numFmtId="0" fontId="0" fillId="0" borderId="0" xfId="0" applyAlignment="1">
      <alignment horizontal="center"/>
    </xf>
    <xf numFmtId="49" fontId="1" fillId="0" borderId="0" xfId="0" applyNumberFormat="1" applyFont="1"/>
    <xf numFmtId="0" fontId="1" fillId="0" borderId="0" xfId="0" applyFont="1"/>
    <xf numFmtId="0" fontId="0" fillId="2" borderId="0" xfId="0" applyFill="1"/>
    <xf numFmtId="0" fontId="1" fillId="0" borderId="1" xfId="0" applyFont="1" applyBorder="1"/>
    <xf numFmtId="0" fontId="0" fillId="0" borderId="2" xfId="0" applyBorder="1"/>
    <xf numFmtId="0" fontId="0" fillId="0" borderId="3" xfId="0" applyBorder="1"/>
    <xf numFmtId="0" fontId="0" fillId="0" borderId="4" xfId="0" applyBorder="1"/>
    <xf numFmtId="0" fontId="0" fillId="0" borderId="0" xfId="0" applyBorder="1"/>
    <xf numFmtId="0" fontId="0" fillId="0" borderId="5" xfId="0" applyBorder="1"/>
    <xf numFmtId="0" fontId="0" fillId="2" borderId="0" xfId="0" applyFill="1" applyBorder="1"/>
    <xf numFmtId="0" fontId="0" fillId="0" borderId="6" xfId="0" applyBorder="1"/>
    <xf numFmtId="0" fontId="0" fillId="0" borderId="7" xfId="0" applyBorder="1"/>
    <xf numFmtId="0" fontId="0" fillId="2" borderId="7" xfId="0" applyFill="1" applyBorder="1"/>
    <xf numFmtId="0" fontId="0" fillId="0" borderId="8" xfId="0" applyBorder="1"/>
    <xf numFmtId="0" fontId="0" fillId="3" borderId="0" xfId="0" applyFill="1"/>
    <xf numFmtId="0" fontId="0" fillId="3" borderId="5" xfId="0" applyFill="1" applyBorder="1"/>
  </cellXfs>
  <cellStyles count="1">
    <cellStyle name="Normal" xfId="0" builtinId="0"/>
  </cellStyles>
  <dxfs count="0"/>
  <tableStyles count="0" defaultTableStyle="TableStyleMedium9" defaultPivotStyle="PivotStyleMedium7"/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4" Type="http://schemas.openxmlformats.org/officeDocument/2006/relationships/sharedStrings" Target="sharedStrings.xml"/><Relationship Id="rId5" Type="http://schemas.openxmlformats.org/officeDocument/2006/relationships/calcChain" Target="calcChain.xml"/><Relationship Id="rId1" Type="http://schemas.openxmlformats.org/officeDocument/2006/relationships/worksheet" Target="worksheets/sheet1.xml"/><Relationship Id="rId2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Yu Gothic Light"/>
        <a:font script="Hang" typeface="맑은 고딕"/>
        <a:font script="Hans" typeface="DengXian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Yu Gothic"/>
        <a:font script="Hang" typeface="맑은 고딕"/>
        <a:font script="Hans" typeface="DengXian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O63"/>
  <sheetViews>
    <sheetView tabSelected="1" topLeftCell="F1" zoomScale="120" zoomScaleNormal="120" zoomScalePageLayoutView="120" workbookViewId="0">
      <selection activeCell="N56" sqref="N56"/>
    </sheetView>
  </sheetViews>
  <sheetFormatPr baseColWidth="10" defaultRowHeight="16" x14ac:dyDescent="0.2"/>
  <sheetData>
    <row r="1" spans="1:14" x14ac:dyDescent="0.2">
      <c r="A1" t="s">
        <v>0</v>
      </c>
    </row>
    <row r="2" spans="1:14" x14ac:dyDescent="0.2">
      <c r="L2" t="s">
        <v>4</v>
      </c>
      <c r="M2" t="s">
        <v>6</v>
      </c>
      <c r="N2" t="s">
        <v>15</v>
      </c>
    </row>
    <row r="3" spans="1:14" x14ac:dyDescent="0.2">
      <c r="A3" t="s">
        <v>1</v>
      </c>
      <c r="B3">
        <v>55.05</v>
      </c>
      <c r="C3">
        <v>50.64</v>
      </c>
      <c r="D3">
        <v>45.47</v>
      </c>
      <c r="E3">
        <v>63.91</v>
      </c>
      <c r="F3">
        <v>58.85</v>
      </c>
      <c r="G3">
        <v>46.78</v>
      </c>
      <c r="H3">
        <v>49.44</v>
      </c>
      <c r="I3">
        <v>47.04</v>
      </c>
      <c r="J3">
        <v>44.79</v>
      </c>
      <c r="K3">
        <v>45.56</v>
      </c>
      <c r="L3" s="6">
        <f>AVERAGE(B3:K3)</f>
        <v>50.753000000000007</v>
      </c>
      <c r="M3">
        <f>STDEV(B3:K3)</f>
        <v>6.4882355930646067</v>
      </c>
      <c r="N3">
        <f>M3/SQRT(10)</f>
        <v>2.0517602469857539</v>
      </c>
    </row>
    <row r="4" spans="1:14" x14ac:dyDescent="0.2">
      <c r="B4">
        <v>5.45</v>
      </c>
      <c r="C4">
        <v>4.57</v>
      </c>
      <c r="D4">
        <v>3.19</v>
      </c>
      <c r="E4">
        <v>8.0399999999999991</v>
      </c>
      <c r="F4">
        <v>5.48</v>
      </c>
      <c r="G4">
        <v>0.95</v>
      </c>
      <c r="H4">
        <v>0.93</v>
      </c>
      <c r="I4">
        <v>2.35</v>
      </c>
      <c r="J4">
        <v>0.89</v>
      </c>
      <c r="K4">
        <v>0.99</v>
      </c>
      <c r="L4">
        <f t="shared" ref="L4:L19" si="0">AVERAGE(B4:K4)</f>
        <v>3.2840000000000003</v>
      </c>
      <c r="M4">
        <f t="shared" ref="M4:M27" si="1">STDEV(B4:K4)</f>
        <v>2.5088961716260796</v>
      </c>
      <c r="N4">
        <f>M4/SQRT(10)</f>
        <v>0.79338263152151234</v>
      </c>
    </row>
    <row r="5" spans="1:14" x14ac:dyDescent="0.2">
      <c r="I5">
        <v>0.45</v>
      </c>
      <c r="L5">
        <f t="shared" si="0"/>
        <v>0.45</v>
      </c>
    </row>
    <row r="6" spans="1:14" x14ac:dyDescent="0.2">
      <c r="A6" t="s">
        <v>2</v>
      </c>
      <c r="B6">
        <v>32.44</v>
      </c>
      <c r="C6">
        <v>33.28</v>
      </c>
      <c r="D6">
        <v>32.86</v>
      </c>
      <c r="E6">
        <v>32.26</v>
      </c>
      <c r="F6">
        <v>35.909999999999997</v>
      </c>
      <c r="G6">
        <v>26.42</v>
      </c>
      <c r="H6">
        <v>28.49</v>
      </c>
      <c r="I6">
        <v>26.8</v>
      </c>
      <c r="J6">
        <v>24.87</v>
      </c>
      <c r="K6">
        <v>26.97</v>
      </c>
      <c r="L6" s="6">
        <f t="shared" si="0"/>
        <v>30.030000000000008</v>
      </c>
      <c r="M6">
        <f t="shared" si="1"/>
        <v>3.7379822245578809</v>
      </c>
      <c r="N6">
        <f>M6/SQRT(9)</f>
        <v>1.245994074852627</v>
      </c>
    </row>
    <row r="7" spans="1:14" x14ac:dyDescent="0.2">
      <c r="D7">
        <v>5.77</v>
      </c>
      <c r="E7">
        <v>3.31</v>
      </c>
      <c r="F7">
        <v>4.13</v>
      </c>
      <c r="G7">
        <v>1.28</v>
      </c>
      <c r="H7">
        <v>10.47</v>
      </c>
      <c r="L7">
        <f t="shared" si="0"/>
        <v>4.992</v>
      </c>
      <c r="M7">
        <f t="shared" si="1"/>
        <v>3.4628340994047058</v>
      </c>
      <c r="N7">
        <f>M7/SQRT(5)</f>
        <v>1.5486264882146372</v>
      </c>
    </row>
    <row r="8" spans="1:14" x14ac:dyDescent="0.2">
      <c r="A8" t="s">
        <v>3</v>
      </c>
      <c r="B8">
        <v>35.07</v>
      </c>
      <c r="C8">
        <v>29.73</v>
      </c>
      <c r="D8">
        <v>34.39</v>
      </c>
      <c r="E8">
        <v>20.85</v>
      </c>
      <c r="F8">
        <v>21.16</v>
      </c>
      <c r="G8">
        <v>27.04</v>
      </c>
      <c r="H8">
        <v>25.79</v>
      </c>
      <c r="I8">
        <v>29.76</v>
      </c>
      <c r="J8">
        <v>31.29</v>
      </c>
      <c r="K8">
        <v>28.6</v>
      </c>
      <c r="L8" s="6">
        <f t="shared" si="0"/>
        <v>28.367999999999995</v>
      </c>
      <c r="M8">
        <f t="shared" si="1"/>
        <v>4.835644964451224</v>
      </c>
      <c r="N8">
        <f>M8/SQRT(10)</f>
        <v>1.5291652043589821</v>
      </c>
    </row>
    <row r="9" spans="1:14" x14ac:dyDescent="0.2">
      <c r="B9">
        <v>13.38</v>
      </c>
      <c r="C9">
        <v>11.3</v>
      </c>
      <c r="D9">
        <v>14.28</v>
      </c>
      <c r="F9">
        <v>3.12</v>
      </c>
      <c r="H9">
        <v>9.34</v>
      </c>
      <c r="I9">
        <v>7.16</v>
      </c>
      <c r="J9">
        <v>9.31</v>
      </c>
      <c r="L9">
        <f t="shared" si="0"/>
        <v>9.6985714285714284</v>
      </c>
      <c r="M9">
        <f t="shared" si="1"/>
        <v>3.8102599586354939</v>
      </c>
      <c r="N9">
        <f>M9/SQRT(7)</f>
        <v>1.4401428972938244</v>
      </c>
    </row>
    <row r="12" spans="1:14" x14ac:dyDescent="0.2">
      <c r="A12" t="s">
        <v>5</v>
      </c>
    </row>
    <row r="14" spans="1:14" x14ac:dyDescent="0.2">
      <c r="A14" t="s">
        <v>1</v>
      </c>
      <c r="B14">
        <v>73.37</v>
      </c>
      <c r="C14">
        <v>79.02</v>
      </c>
      <c r="D14">
        <v>77.03</v>
      </c>
      <c r="E14">
        <v>76.5</v>
      </c>
      <c r="F14">
        <v>77.260000000000005</v>
      </c>
      <c r="G14">
        <v>74.94</v>
      </c>
      <c r="H14">
        <v>74.14</v>
      </c>
      <c r="I14">
        <v>76.58</v>
      </c>
      <c r="J14">
        <v>79.02</v>
      </c>
      <c r="K14">
        <v>73.53</v>
      </c>
      <c r="L14" s="6">
        <f t="shared" si="0"/>
        <v>76.138999999999996</v>
      </c>
      <c r="M14">
        <f t="shared" si="1"/>
        <v>2.0785542518245155</v>
      </c>
      <c r="N14" s="18">
        <f>M14/SQRT(10)</f>
        <v>0.65729656759926647</v>
      </c>
    </row>
    <row r="15" spans="1:14" x14ac:dyDescent="0.2">
      <c r="B15">
        <v>4.46</v>
      </c>
      <c r="C15">
        <v>5.68</v>
      </c>
      <c r="D15">
        <v>6.23</v>
      </c>
      <c r="E15">
        <v>2.75</v>
      </c>
      <c r="F15">
        <v>4.3</v>
      </c>
      <c r="H15">
        <v>3.91</v>
      </c>
      <c r="J15">
        <v>8.73</v>
      </c>
      <c r="L15">
        <f t="shared" si="0"/>
        <v>5.1514285714285721</v>
      </c>
      <c r="M15">
        <f t="shared" si="1"/>
        <v>1.9476432644902606</v>
      </c>
      <c r="N15">
        <f>M15/SQRT(7)</f>
        <v>0.73613996007303228</v>
      </c>
    </row>
    <row r="16" spans="1:14" x14ac:dyDescent="0.2">
      <c r="A16" t="s">
        <v>2</v>
      </c>
      <c r="B16">
        <v>59.45</v>
      </c>
      <c r="C16">
        <v>64.67</v>
      </c>
      <c r="D16">
        <v>57.21</v>
      </c>
      <c r="E16">
        <v>64.540000000000006</v>
      </c>
      <c r="F16">
        <v>66.989999999999995</v>
      </c>
      <c r="G16">
        <v>56.78</v>
      </c>
      <c r="H16">
        <v>52.41</v>
      </c>
      <c r="I16">
        <v>64.36</v>
      </c>
      <c r="J16">
        <v>65.53</v>
      </c>
      <c r="K16">
        <v>60.91</v>
      </c>
      <c r="L16" s="6">
        <f t="shared" si="0"/>
        <v>61.284999999999989</v>
      </c>
      <c r="M16">
        <f t="shared" si="1"/>
        <v>4.7287542404598142</v>
      </c>
      <c r="N16" s="18">
        <f t="shared" ref="N16" si="2">M16/SQRT(10)</f>
        <v>1.4953633895032563</v>
      </c>
    </row>
    <row r="17" spans="1:14" x14ac:dyDescent="0.2">
      <c r="H17">
        <v>9.4</v>
      </c>
      <c r="I17">
        <v>8.77</v>
      </c>
      <c r="J17">
        <v>3.92</v>
      </c>
      <c r="L17">
        <f t="shared" si="0"/>
        <v>7.3633333333333342</v>
      </c>
      <c r="M17">
        <f t="shared" si="1"/>
        <v>2.9986052313256071</v>
      </c>
      <c r="N17">
        <f>M17/SQRT(3)</f>
        <v>1.7312455374992595</v>
      </c>
    </row>
    <row r="18" spans="1:14" x14ac:dyDescent="0.2">
      <c r="A18" t="s">
        <v>3</v>
      </c>
      <c r="B18">
        <v>50.08</v>
      </c>
      <c r="C18">
        <v>50.6</v>
      </c>
      <c r="D18">
        <v>55.69</v>
      </c>
      <c r="E18">
        <v>50.73</v>
      </c>
      <c r="F18">
        <v>67.92</v>
      </c>
      <c r="G18">
        <v>77.8</v>
      </c>
      <c r="H18">
        <v>79.02</v>
      </c>
      <c r="I18">
        <v>82.14</v>
      </c>
      <c r="J18">
        <v>80.02</v>
      </c>
      <c r="L18" s="6">
        <f t="shared" si="0"/>
        <v>66</v>
      </c>
      <c r="M18">
        <f t="shared" si="1"/>
        <v>14.140289070595429</v>
      </c>
      <c r="N18" s="18">
        <f>M18/SQRT(9)</f>
        <v>4.7134296901984767</v>
      </c>
    </row>
    <row r="19" spans="1:14" x14ac:dyDescent="0.2">
      <c r="F19">
        <v>22.19</v>
      </c>
      <c r="H19">
        <v>8.8000000000000007</v>
      </c>
      <c r="J19">
        <v>11.16</v>
      </c>
      <c r="L19">
        <f t="shared" si="0"/>
        <v>14.050000000000002</v>
      </c>
      <c r="M19">
        <f t="shared" si="1"/>
        <v>7.1475240468290853</v>
      </c>
      <c r="N19">
        <f>M19/SQRT(3)</f>
        <v>4.126624932476096</v>
      </c>
    </row>
    <row r="21" spans="1:14" x14ac:dyDescent="0.2">
      <c r="A21" t="s">
        <v>18</v>
      </c>
    </row>
    <row r="23" spans="1:14" x14ac:dyDescent="0.2">
      <c r="A23" s="1" t="s">
        <v>7</v>
      </c>
      <c r="L23" s="2" t="s">
        <v>4</v>
      </c>
      <c r="M23" t="s">
        <v>6</v>
      </c>
      <c r="N23" s="3" t="s">
        <v>15</v>
      </c>
    </row>
    <row r="24" spans="1:14" x14ac:dyDescent="0.2">
      <c r="A24" s="1" t="s">
        <v>8</v>
      </c>
      <c r="B24">
        <v>50.97</v>
      </c>
      <c r="C24">
        <v>49.92</v>
      </c>
      <c r="D24">
        <v>57.4</v>
      </c>
      <c r="E24">
        <v>50.71</v>
      </c>
      <c r="F24">
        <v>50.66</v>
      </c>
      <c r="L24" s="6">
        <f>AVERAGE(B24:F24)</f>
        <v>51.931999999999995</v>
      </c>
      <c r="M24">
        <f>STDEV(B24:K24)</f>
        <v>3.0815531798104665</v>
      </c>
      <c r="N24" s="18">
        <f>M24/SQRT(5)</f>
        <v>1.378112477267367</v>
      </c>
    </row>
    <row r="25" spans="1:14" x14ac:dyDescent="0.2">
      <c r="A25" s="1" t="s">
        <v>9</v>
      </c>
      <c r="B25">
        <v>72.5</v>
      </c>
      <c r="C25">
        <v>81.08</v>
      </c>
      <c r="D25">
        <v>101.81</v>
      </c>
      <c r="E25">
        <v>108.99</v>
      </c>
      <c r="F25">
        <v>64.61</v>
      </c>
      <c r="G25">
        <v>67.55</v>
      </c>
      <c r="H25">
        <v>71.709999999999994</v>
      </c>
      <c r="I25">
        <v>72.72</v>
      </c>
      <c r="J25">
        <v>87</v>
      </c>
      <c r="L25">
        <f>AVERAGE(B25:K25)</f>
        <v>80.885555555555555</v>
      </c>
      <c r="M25">
        <f t="shared" si="1"/>
        <v>15.528328235124908</v>
      </c>
      <c r="N25">
        <f>M25/SQRT(9)</f>
        <v>5.1761094117083024</v>
      </c>
    </row>
    <row r="26" spans="1:14" x14ac:dyDescent="0.2">
      <c r="A26" s="1" t="s">
        <v>10</v>
      </c>
      <c r="B26">
        <v>56.03</v>
      </c>
      <c r="C26">
        <v>65.97</v>
      </c>
      <c r="D26">
        <v>49.39</v>
      </c>
      <c r="E26">
        <v>91.42</v>
      </c>
      <c r="F26">
        <v>63.4</v>
      </c>
      <c r="L26">
        <f>AVERAGE(B26:F26)</f>
        <v>65.24199999999999</v>
      </c>
      <c r="M26">
        <f t="shared" si="1"/>
        <v>16.01060180005738</v>
      </c>
      <c r="N26">
        <f>M26/SQRT(5)</f>
        <v>7.1601587971217588</v>
      </c>
    </row>
    <row r="27" spans="1:14" x14ac:dyDescent="0.2">
      <c r="A27" s="1" t="s">
        <v>11</v>
      </c>
      <c r="B27">
        <v>95.44</v>
      </c>
      <c r="C27">
        <v>108.72</v>
      </c>
      <c r="D27">
        <v>104.71</v>
      </c>
      <c r="E27">
        <v>99.4</v>
      </c>
      <c r="F27">
        <v>100.07</v>
      </c>
      <c r="G27">
        <v>74.349999999999994</v>
      </c>
      <c r="H27">
        <v>64.319999999999993</v>
      </c>
      <c r="I27">
        <v>58.15</v>
      </c>
      <c r="J27">
        <v>67.209999999999994</v>
      </c>
      <c r="K27">
        <v>66.739999999999995</v>
      </c>
      <c r="L27">
        <f>AVERAGE(B27:K27)</f>
        <v>83.911000000000001</v>
      </c>
      <c r="M27">
        <f t="shared" si="1"/>
        <v>19.421182278921872</v>
      </c>
      <c r="N27">
        <f>M27/SQRT(10)</f>
        <v>6.1415170854692649</v>
      </c>
    </row>
    <row r="28" spans="1:14" x14ac:dyDescent="0.2">
      <c r="A28" s="1" t="s">
        <v>12</v>
      </c>
      <c r="B28">
        <v>23.64</v>
      </c>
      <c r="C28">
        <v>26.91</v>
      </c>
      <c r="D28">
        <v>32.380000000000003</v>
      </c>
      <c r="E28">
        <v>31.87</v>
      </c>
      <c r="F28">
        <v>17.5</v>
      </c>
      <c r="K28">
        <v>62.25</v>
      </c>
      <c r="L28">
        <f>AVERAGE(B28:F28)</f>
        <v>26.46</v>
      </c>
    </row>
    <row r="29" spans="1:14" x14ac:dyDescent="0.2">
      <c r="A29" s="1"/>
      <c r="B29">
        <v>184.81</v>
      </c>
      <c r="C29">
        <v>172.19</v>
      </c>
      <c r="D29">
        <v>174.69</v>
      </c>
      <c r="E29">
        <v>141.63999999999999</v>
      </c>
      <c r="F29">
        <v>82.25</v>
      </c>
      <c r="G29">
        <v>79.62</v>
      </c>
      <c r="H29">
        <v>81.150000000000006</v>
      </c>
      <c r="I29">
        <v>117.8</v>
      </c>
      <c r="J29">
        <v>92.42</v>
      </c>
      <c r="K29">
        <v>166.52</v>
      </c>
      <c r="L29">
        <f>AVERAGE(B29:K29)</f>
        <v>129.30900000000003</v>
      </c>
      <c r="M29">
        <f>STDEV(B29:K29)</f>
        <v>43.47589279640426</v>
      </c>
      <c r="N29">
        <f>M29/SQRT(10)</f>
        <v>13.748284454594454</v>
      </c>
    </row>
    <row r="30" spans="1:14" x14ac:dyDescent="0.2">
      <c r="A30" s="1" t="s">
        <v>13</v>
      </c>
    </row>
    <row r="31" spans="1:14" x14ac:dyDescent="0.2">
      <c r="A31" s="1" t="s">
        <v>8</v>
      </c>
      <c r="B31">
        <v>63.97</v>
      </c>
      <c r="C31">
        <v>84.15</v>
      </c>
      <c r="D31">
        <v>71.86</v>
      </c>
      <c r="E31">
        <v>62.97</v>
      </c>
      <c r="F31">
        <v>63.78</v>
      </c>
      <c r="G31">
        <v>64.2</v>
      </c>
      <c r="H31">
        <v>78.349999999999994</v>
      </c>
      <c r="I31">
        <v>60.35</v>
      </c>
      <c r="L31" s="6">
        <f>AVERAGE(B31:I31)</f>
        <v>68.703749999999999</v>
      </c>
      <c r="M31">
        <f>STDEV(B31:K31)</f>
        <v>8.5456353730176531</v>
      </c>
      <c r="N31" s="18">
        <f>M31/SQRT(8)</f>
        <v>3.0213383609042066</v>
      </c>
    </row>
    <row r="32" spans="1:14" x14ac:dyDescent="0.2">
      <c r="A32" s="1" t="s">
        <v>9</v>
      </c>
      <c r="B32">
        <v>57.6</v>
      </c>
      <c r="C32">
        <v>56.52</v>
      </c>
      <c r="D32">
        <v>53.93</v>
      </c>
      <c r="E32">
        <v>83.29</v>
      </c>
      <c r="F32">
        <v>74.48</v>
      </c>
      <c r="L32">
        <f>AVERAGE(B32:F32)</f>
        <v>65.164000000000016</v>
      </c>
      <c r="M32">
        <f>STDEV(B32:K32)</f>
        <v>12.975701522461105</v>
      </c>
      <c r="N32">
        <f>M32/SQRT(5)</f>
        <v>5.8029101319941088</v>
      </c>
    </row>
    <row r="33" spans="1:14" x14ac:dyDescent="0.2">
      <c r="A33" s="1" t="s">
        <v>10</v>
      </c>
      <c r="B33">
        <v>64.17</v>
      </c>
      <c r="C33">
        <v>56.61</v>
      </c>
      <c r="D33">
        <v>74.84</v>
      </c>
      <c r="E33">
        <v>44.64</v>
      </c>
      <c r="F33">
        <v>57.74</v>
      </c>
      <c r="G33">
        <v>53.11</v>
      </c>
      <c r="H33">
        <v>55.8</v>
      </c>
      <c r="I33">
        <v>56.87</v>
      </c>
      <c r="J33">
        <v>55.75</v>
      </c>
      <c r="L33">
        <f>AVERAGE(B33:J33)</f>
        <v>57.725555555555552</v>
      </c>
      <c r="M33">
        <f>STDEV(B33:K33)</f>
        <v>8.1896079135559354</v>
      </c>
      <c r="N33">
        <f>M33/SQRT(9)</f>
        <v>2.7298693045186453</v>
      </c>
    </row>
    <row r="34" spans="1:14" x14ac:dyDescent="0.2">
      <c r="A34" s="1" t="s">
        <v>11</v>
      </c>
      <c r="B34">
        <v>72.09</v>
      </c>
      <c r="C34">
        <v>85.28</v>
      </c>
      <c r="D34">
        <v>59.72</v>
      </c>
      <c r="L34">
        <f>AVERAGE(B34:K34)</f>
        <v>72.36333333333333</v>
      </c>
      <c r="M34">
        <f>STDEV(B34:K34)</f>
        <v>12.782192039448155</v>
      </c>
      <c r="N34">
        <f>M34/SQRT(3)</f>
        <v>7.3798020148088845</v>
      </c>
    </row>
    <row r="35" spans="1:14" x14ac:dyDescent="0.2">
      <c r="A35" s="1" t="s">
        <v>12</v>
      </c>
      <c r="B35">
        <v>60.77</v>
      </c>
      <c r="C35">
        <v>54.65</v>
      </c>
      <c r="D35">
        <v>52.26</v>
      </c>
      <c r="E35">
        <v>57.7</v>
      </c>
      <c r="F35">
        <v>61.97</v>
      </c>
      <c r="G35">
        <v>50.1</v>
      </c>
      <c r="H35">
        <v>53.13</v>
      </c>
      <c r="I35">
        <v>59.63</v>
      </c>
      <c r="J35">
        <v>58.65</v>
      </c>
      <c r="L35">
        <f>AVERAGE(B35:J35)</f>
        <v>56.54</v>
      </c>
      <c r="M35">
        <f>STDEV(B35:K35)</f>
        <v>4.1490330198734267</v>
      </c>
      <c r="N35">
        <f>M35/SQRT(9)</f>
        <v>1.3830110066244756</v>
      </c>
    </row>
    <row r="38" spans="1:14" x14ac:dyDescent="0.2">
      <c r="A38" s="4" t="s">
        <v>14</v>
      </c>
    </row>
    <row r="40" spans="1:14" x14ac:dyDescent="0.2">
      <c r="A40" t="s">
        <v>1</v>
      </c>
      <c r="B40">
        <v>66.72</v>
      </c>
      <c r="C40">
        <v>79.27</v>
      </c>
      <c r="D40">
        <v>65.55</v>
      </c>
      <c r="E40">
        <v>72.510000000000005</v>
      </c>
      <c r="F40">
        <v>71.36</v>
      </c>
      <c r="G40">
        <v>77.64</v>
      </c>
      <c r="H40">
        <v>73.64</v>
      </c>
      <c r="I40">
        <v>65.75</v>
      </c>
      <c r="L40" s="6">
        <f>AVERAGE(B40:I40)</f>
        <v>71.555000000000007</v>
      </c>
      <c r="M40">
        <f t="shared" ref="M40:M53" si="3">STDEV(B40:K40)</f>
        <v>5.2777294901717511</v>
      </c>
      <c r="N40" s="18">
        <f>M40/SQRT(8)</f>
        <v>1.8659591558843325</v>
      </c>
    </row>
    <row r="41" spans="1:14" x14ac:dyDescent="0.2">
      <c r="B41">
        <v>8.23</v>
      </c>
      <c r="C41">
        <v>13.45</v>
      </c>
      <c r="D41">
        <v>8.26</v>
      </c>
      <c r="E41">
        <v>13.98</v>
      </c>
      <c r="F41">
        <v>8.9600000000000009</v>
      </c>
      <c r="G41">
        <v>15.91</v>
      </c>
      <c r="H41">
        <v>9.4600000000000009</v>
      </c>
      <c r="I41">
        <v>7.64</v>
      </c>
      <c r="L41">
        <f t="shared" ref="L41:L53" si="4">AVERAGE(B41:I41)</f>
        <v>10.73625</v>
      </c>
      <c r="M41">
        <f t="shared" si="3"/>
        <v>3.1945888959748379</v>
      </c>
      <c r="N41">
        <f t="shared" ref="N41" si="5">M41/SQRT(8)</f>
        <v>1.1294577357235269</v>
      </c>
    </row>
    <row r="42" spans="1:14" x14ac:dyDescent="0.2">
      <c r="A42" t="s">
        <v>2</v>
      </c>
      <c r="B42">
        <v>54.63</v>
      </c>
      <c r="C42">
        <v>56.95</v>
      </c>
      <c r="E42">
        <v>52.38</v>
      </c>
      <c r="F42">
        <v>49.17</v>
      </c>
      <c r="H42" s="6"/>
      <c r="I42" s="6"/>
      <c r="J42" s="6"/>
      <c r="K42" s="6"/>
      <c r="L42" s="6">
        <f>AVERAGE(B42:F42)</f>
        <v>53.282499999999999</v>
      </c>
      <c r="M42">
        <f>STDEV(B42:F42)</f>
        <v>3.3162968805581929</v>
      </c>
      <c r="N42" s="18">
        <f>M42/SQRT(4)</f>
        <v>1.6581484402790965</v>
      </c>
    </row>
    <row r="43" spans="1:14" x14ac:dyDescent="0.2">
      <c r="B43">
        <v>4.6500000000000004</v>
      </c>
      <c r="C43">
        <v>7.03</v>
      </c>
      <c r="E43">
        <v>8</v>
      </c>
      <c r="F43">
        <v>3.91</v>
      </c>
      <c r="H43" s="6"/>
      <c r="I43" s="6"/>
      <c r="J43" s="6"/>
      <c r="K43" s="6"/>
      <c r="L43">
        <f t="shared" si="4"/>
        <v>5.8975</v>
      </c>
      <c r="M43">
        <f>STDEV(B43:F43)</f>
        <v>1.9330006897739782</v>
      </c>
      <c r="N43">
        <f>M43/SQRT(4)</f>
        <v>0.9665003448869891</v>
      </c>
    </row>
    <row r="44" spans="1:14" x14ac:dyDescent="0.2">
      <c r="A44" t="s">
        <v>3</v>
      </c>
      <c r="B44" s="6"/>
      <c r="D44">
        <v>54.37</v>
      </c>
      <c r="E44">
        <v>52.93</v>
      </c>
      <c r="F44">
        <v>54.79</v>
      </c>
      <c r="G44" s="6"/>
      <c r="L44" s="6">
        <f>AVERAGE(C44:F44)</f>
        <v>54.03</v>
      </c>
      <c r="M44">
        <f>STDEV(C44:F44)</f>
        <v>0.9754998718605753</v>
      </c>
      <c r="N44" s="18">
        <f>M44/SQRT(3)</f>
        <v>0.56320511361314862</v>
      </c>
    </row>
    <row r="45" spans="1:14" x14ac:dyDescent="0.2">
      <c r="B45" s="6"/>
      <c r="G45" s="6"/>
      <c r="L45" t="e">
        <f t="shared" si="4"/>
        <v>#DIV/0!</v>
      </c>
      <c r="M45" t="e">
        <f t="shared" si="3"/>
        <v>#DIV/0!</v>
      </c>
      <c r="N45" t="e">
        <f>M45/SQRT(6)</f>
        <v>#DIV/0!</v>
      </c>
    </row>
    <row r="47" spans="1:14" x14ac:dyDescent="0.2">
      <c r="A47" s="5" t="s">
        <v>16</v>
      </c>
    </row>
    <row r="49" spans="1:15" x14ac:dyDescent="0.2">
      <c r="A49" t="s">
        <v>1</v>
      </c>
      <c r="B49">
        <v>71.37</v>
      </c>
      <c r="C49">
        <v>60.7</v>
      </c>
      <c r="D49">
        <v>78.28</v>
      </c>
      <c r="E49">
        <v>67.05</v>
      </c>
      <c r="F49">
        <v>74.38</v>
      </c>
      <c r="G49">
        <v>62.44</v>
      </c>
      <c r="H49">
        <v>60.62</v>
      </c>
      <c r="I49">
        <v>85.47</v>
      </c>
      <c r="J49">
        <v>59.26</v>
      </c>
      <c r="L49" s="6">
        <f t="shared" si="4"/>
        <v>70.038749999999993</v>
      </c>
      <c r="M49">
        <f t="shared" si="3"/>
        <v>9.1687750605580973</v>
      </c>
      <c r="N49" s="18">
        <f>M49/SQRT(9)</f>
        <v>3.0562583535193659</v>
      </c>
    </row>
    <row r="50" spans="1:15" x14ac:dyDescent="0.2">
      <c r="B50">
        <v>10.5</v>
      </c>
      <c r="C50">
        <v>6.72</v>
      </c>
      <c r="D50">
        <v>10.35</v>
      </c>
      <c r="E50">
        <v>9.3800000000000008</v>
      </c>
      <c r="F50">
        <v>12.38</v>
      </c>
      <c r="G50">
        <v>8.33</v>
      </c>
      <c r="H50">
        <v>7.6</v>
      </c>
      <c r="I50">
        <v>20.059999999999999</v>
      </c>
      <c r="J50">
        <v>5.29</v>
      </c>
      <c r="L50">
        <f t="shared" si="4"/>
        <v>10.665000000000001</v>
      </c>
      <c r="M50">
        <f t="shared" si="3"/>
        <v>4.3167545036108308</v>
      </c>
      <c r="N50">
        <f t="shared" ref="N50" si="6">M50/SQRT(9)</f>
        <v>1.4389181678702769</v>
      </c>
    </row>
    <row r="51" spans="1:15" x14ac:dyDescent="0.2">
      <c r="A51" t="s">
        <v>2</v>
      </c>
      <c r="B51">
        <v>39.659999999999997</v>
      </c>
      <c r="C51">
        <v>45.52</v>
      </c>
      <c r="D51">
        <v>42.45</v>
      </c>
      <c r="F51">
        <v>45.27</v>
      </c>
      <c r="G51">
        <v>49.14</v>
      </c>
      <c r="H51">
        <v>48.42</v>
      </c>
      <c r="I51">
        <v>40.43</v>
      </c>
      <c r="J51">
        <v>49.37</v>
      </c>
      <c r="K51" s="6">
        <v>48.41</v>
      </c>
      <c r="L51" s="6">
        <f>AVERAGE(B51:K51)</f>
        <v>45.407777777777788</v>
      </c>
      <c r="M51">
        <f>STDEV(B51:K51)</f>
        <v>3.7800587884905235</v>
      </c>
      <c r="N51" s="18">
        <f>M51/SQRT(9)</f>
        <v>1.2600195961635079</v>
      </c>
      <c r="O51" s="6"/>
    </row>
    <row r="52" spans="1:15" x14ac:dyDescent="0.2">
      <c r="C52">
        <v>5.93</v>
      </c>
      <c r="D52">
        <v>6.13</v>
      </c>
      <c r="E52">
        <v>12.67</v>
      </c>
      <c r="F52">
        <v>8.01</v>
      </c>
      <c r="G52">
        <v>10.039999999999999</v>
      </c>
      <c r="H52">
        <v>8.76</v>
      </c>
      <c r="I52">
        <v>3.42</v>
      </c>
      <c r="J52">
        <v>10.69</v>
      </c>
      <c r="K52" s="6"/>
      <c r="L52">
        <f t="shared" si="4"/>
        <v>7.8514285714285705</v>
      </c>
      <c r="M52">
        <f t="shared" si="3"/>
        <v>2.9809439420616903</v>
      </c>
      <c r="N52">
        <f>M52/SQRT(8)</f>
        <v>1.0539228378843899</v>
      </c>
      <c r="O52" s="6"/>
    </row>
    <row r="53" spans="1:15" x14ac:dyDescent="0.2">
      <c r="A53" t="s">
        <v>3</v>
      </c>
      <c r="B53">
        <v>39.82</v>
      </c>
      <c r="C53">
        <v>45.98</v>
      </c>
      <c r="D53">
        <v>40.79</v>
      </c>
      <c r="E53">
        <v>36.61</v>
      </c>
      <c r="F53">
        <v>40.61</v>
      </c>
      <c r="G53">
        <v>41.79</v>
      </c>
      <c r="H53">
        <v>36.24</v>
      </c>
      <c r="L53" s="6">
        <f t="shared" si="4"/>
        <v>40.262857142857136</v>
      </c>
      <c r="M53">
        <f t="shared" si="3"/>
        <v>3.2949239459392383</v>
      </c>
      <c r="N53" s="18">
        <f>M53/SQRT(7)</f>
        <v>1.2453641928324077</v>
      </c>
    </row>
    <row r="54" spans="1:15" x14ac:dyDescent="0.2">
      <c r="C54">
        <v>22.7</v>
      </c>
    </row>
    <row r="55" spans="1:15" ht="17" thickBot="1" x14ac:dyDescent="0.25"/>
    <row r="56" spans="1:15" x14ac:dyDescent="0.2">
      <c r="A56" s="7" t="s">
        <v>17</v>
      </c>
      <c r="B56" s="8"/>
      <c r="C56" s="8"/>
      <c r="D56" s="8"/>
      <c r="E56" s="8"/>
      <c r="F56" s="8"/>
      <c r="G56" s="8"/>
      <c r="H56" s="8"/>
      <c r="I56" s="8"/>
      <c r="J56" s="8"/>
      <c r="K56" s="8"/>
      <c r="L56" s="8"/>
      <c r="M56" s="8"/>
      <c r="N56" s="9"/>
    </row>
    <row r="57" spans="1:15" x14ac:dyDescent="0.2">
      <c r="A57" s="10"/>
      <c r="B57" s="11"/>
      <c r="C57" s="11"/>
      <c r="D57" s="11"/>
      <c r="E57" s="11"/>
      <c r="F57" s="11"/>
      <c r="G57" s="11"/>
      <c r="H57" s="11"/>
      <c r="I57" s="11"/>
      <c r="J57" s="11"/>
      <c r="K57" s="11"/>
      <c r="L57" s="11"/>
      <c r="M57" s="11"/>
      <c r="N57" s="12"/>
    </row>
    <row r="58" spans="1:15" x14ac:dyDescent="0.2">
      <c r="A58" s="10" t="s">
        <v>1</v>
      </c>
      <c r="B58" s="11">
        <v>109.96</v>
      </c>
      <c r="C58" s="11">
        <v>107.02</v>
      </c>
      <c r="D58" s="11">
        <v>110.2</v>
      </c>
      <c r="E58" s="11">
        <v>109.35</v>
      </c>
      <c r="F58" s="11">
        <v>111.17</v>
      </c>
      <c r="G58" s="11"/>
      <c r="H58" s="11"/>
      <c r="I58" s="11"/>
      <c r="J58" s="11"/>
      <c r="K58" s="11"/>
      <c r="L58" s="13">
        <f>AVERAGE(B58:F58)</f>
        <v>109.53999999999999</v>
      </c>
      <c r="M58" s="11">
        <f>STDEV(B58:F58)</f>
        <v>1.5536569762981811</v>
      </c>
      <c r="N58" s="19">
        <f>M58/SQRT(5)</f>
        <v>0.69481652254390247</v>
      </c>
    </row>
    <row r="59" spans="1:15" x14ac:dyDescent="0.2">
      <c r="A59" s="10"/>
      <c r="B59" s="11"/>
      <c r="C59" s="11"/>
      <c r="D59" s="11"/>
      <c r="E59" s="11"/>
      <c r="F59" s="11"/>
      <c r="G59" s="11"/>
      <c r="H59" s="11"/>
      <c r="I59" s="11"/>
      <c r="J59" s="11"/>
      <c r="K59" s="11"/>
      <c r="L59" s="11"/>
      <c r="M59" s="11"/>
      <c r="N59" s="12"/>
    </row>
    <row r="60" spans="1:15" x14ac:dyDescent="0.2">
      <c r="A60" s="10" t="s">
        <v>2</v>
      </c>
      <c r="B60" s="11">
        <v>62.6</v>
      </c>
      <c r="C60" s="11">
        <v>126.94</v>
      </c>
      <c r="D60" s="11">
        <v>80.13</v>
      </c>
      <c r="E60" s="11">
        <v>51.39</v>
      </c>
      <c r="F60" s="11">
        <v>176.98</v>
      </c>
      <c r="G60" s="11">
        <v>276.27999999999997</v>
      </c>
      <c r="H60" s="11">
        <v>135.16999999999999</v>
      </c>
      <c r="I60" s="11">
        <v>192.73</v>
      </c>
      <c r="J60" s="11">
        <v>109.53</v>
      </c>
      <c r="K60" s="11"/>
      <c r="L60" s="13">
        <f t="shared" ref="L60:L63" si="7">AVERAGE(B60:F60)</f>
        <v>99.60799999999999</v>
      </c>
      <c r="M60" s="11">
        <f t="shared" ref="M60:M63" si="8">STDEV(B60:F60)</f>
        <v>51.97938216254596</v>
      </c>
      <c r="N60" s="19">
        <f>M60/SQRT(9)</f>
        <v>17.326460720848655</v>
      </c>
    </row>
    <row r="61" spans="1:15" x14ac:dyDescent="0.2">
      <c r="A61" s="10"/>
      <c r="B61" s="11">
        <v>17.850000000000001</v>
      </c>
      <c r="C61" s="11">
        <v>27.2</v>
      </c>
      <c r="D61" s="11">
        <v>25.52</v>
      </c>
      <c r="E61" s="11"/>
      <c r="F61" s="11">
        <v>30.97</v>
      </c>
      <c r="G61" s="11">
        <v>35.44</v>
      </c>
      <c r="H61" s="11">
        <v>27.84</v>
      </c>
      <c r="I61" s="11">
        <v>28.64</v>
      </c>
      <c r="J61" s="11">
        <v>25.05</v>
      </c>
      <c r="K61" s="11"/>
      <c r="L61" s="11">
        <f t="shared" si="7"/>
        <v>25.384999999999998</v>
      </c>
      <c r="M61" s="11">
        <f t="shared" si="8"/>
        <v>5.5160644182847189</v>
      </c>
      <c r="N61" s="12">
        <f t="shared" ref="N61" si="9">M61/SQRT(9)</f>
        <v>1.8386881394282397</v>
      </c>
    </row>
    <row r="62" spans="1:15" x14ac:dyDescent="0.2">
      <c r="A62" s="10" t="s">
        <v>3</v>
      </c>
      <c r="B62" s="11">
        <v>177.53</v>
      </c>
      <c r="C62" s="11">
        <v>93.92</v>
      </c>
      <c r="D62" s="13">
        <v>47.62</v>
      </c>
      <c r="E62" s="11"/>
      <c r="F62" s="11"/>
      <c r="G62" s="11"/>
      <c r="H62" s="11"/>
      <c r="I62" s="11"/>
      <c r="J62" s="11"/>
      <c r="K62" s="11"/>
      <c r="L62" s="11">
        <f>AVERAGE(B62:C62)</f>
        <v>135.72499999999999</v>
      </c>
      <c r="M62" s="11">
        <f t="shared" si="8"/>
        <v>65.841894211309992</v>
      </c>
      <c r="N62" s="12">
        <f>M62/SQRT(3)</f>
        <v>38.013835346854691</v>
      </c>
    </row>
    <row r="63" spans="1:15" ht="17" thickBot="1" x14ac:dyDescent="0.25">
      <c r="A63" s="14"/>
      <c r="B63" s="15">
        <v>22.21</v>
      </c>
      <c r="C63" s="15">
        <v>21.01</v>
      </c>
      <c r="D63" s="16">
        <v>14.75</v>
      </c>
      <c r="E63" s="15">
        <v>33.9</v>
      </c>
      <c r="F63" s="15">
        <v>31.84</v>
      </c>
      <c r="G63" s="15">
        <v>32.409999999999997</v>
      </c>
      <c r="H63" s="15">
        <v>32.44</v>
      </c>
      <c r="I63" s="15"/>
      <c r="J63" s="15"/>
      <c r="K63" s="15"/>
      <c r="L63" s="15">
        <f t="shared" si="7"/>
        <v>24.742000000000001</v>
      </c>
      <c r="M63" s="15">
        <f t="shared" si="8"/>
        <v>7.975422872801162</v>
      </c>
      <c r="N63" s="17">
        <f>M63/SQRT(7)</f>
        <v>3.014426503144028</v>
      </c>
    </row>
  </sheetData>
  <sortState ref="D42:D43">
    <sortCondition descending="1" ref="D42"/>
  </sortState>
  <pageMargins left="0.7" right="0.7" top="0.75" bottom="0.75" header="0.3" footer="0.3"/>
  <pageSetup paperSize="9" orientation="portrait" horizontalDpi="0" verticalDpi="0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15.0300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Microsoft Office User</dc:creator>
  <cp:lastModifiedBy>Microsoft Office User</cp:lastModifiedBy>
  <dcterms:created xsi:type="dcterms:W3CDTF">2016-04-11T15:00:03Z</dcterms:created>
  <dcterms:modified xsi:type="dcterms:W3CDTF">2016-04-19T20:15:33Z</dcterms:modified>
</cp:coreProperties>
</file>