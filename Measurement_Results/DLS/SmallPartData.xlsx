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DLS/"/>
    </mc:Choice>
  </mc:AlternateContent>
  <bookViews>
    <workbookView xWindow="80" yWindow="440" windowWidth="28720" windowHeight="175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3" i="1"/>
  <c r="M17" i="1"/>
  <c r="M16" i="1"/>
  <c r="M15" i="1"/>
  <c r="M14" i="1"/>
  <c r="M13" i="1"/>
  <c r="L17" i="1"/>
  <c r="L16" i="1"/>
  <c r="L15" i="1"/>
  <c r="L14" i="1"/>
  <c r="L13" i="1"/>
  <c r="N7" i="1"/>
  <c r="N8" i="1"/>
  <c r="N9" i="1"/>
  <c r="N6" i="1"/>
  <c r="M9" i="1"/>
  <c r="M8" i="1"/>
  <c r="M7" i="1"/>
  <c r="M6" i="1"/>
  <c r="L9" i="1"/>
  <c r="L8" i="1"/>
  <c r="L7" i="1"/>
  <c r="L6" i="1"/>
</calcChain>
</file>

<file path=xl/sharedStrings.xml><?xml version="1.0" encoding="utf-8"?>
<sst xmlns="http://schemas.openxmlformats.org/spreadsheetml/2006/main" count="16" uniqueCount="12">
  <si>
    <t>Data DLS variatioin</t>
  </si>
  <si>
    <t>No Centrifuge</t>
  </si>
  <si>
    <t>Concentration</t>
  </si>
  <si>
    <t>5/10</t>
  </si>
  <si>
    <t>6/10</t>
  </si>
  <si>
    <t>7/10</t>
  </si>
  <si>
    <t>8/10</t>
  </si>
  <si>
    <t>AV</t>
  </si>
  <si>
    <t>sigma^2</t>
  </si>
  <si>
    <t>sigma</t>
  </si>
  <si>
    <t>Centrifuge</t>
  </si>
  <si>
    <t>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</si>
</sst>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F8" sqref="F8"/>
    </sheetView>
  </sheetViews>
  <sheetFormatPr baseColWidth="10" defaultRowHeight="16" x14ac:dyDescent="0.2"/>
  <cols>
    <col min="1" max="1" width="10.83203125" style="1"/>
  </cols>
  <sheetData>
    <row r="1" spans="1:14" x14ac:dyDescent="0.2">
      <c r="A1" s="1" t="s">
        <v>0</v>
      </c>
    </row>
    <row r="3" spans="1:14" x14ac:dyDescent="0.2">
      <c r="A3" s="1" t="s">
        <v>1</v>
      </c>
    </row>
    <row r="5" spans="1:14" x14ac:dyDescent="0.2">
      <c r="A5" s="1" t="s">
        <v>2</v>
      </c>
      <c r="L5" s="2" t="s">
        <v>7</v>
      </c>
      <c r="M5" s="2" t="s">
        <v>8</v>
      </c>
      <c r="N5" s="3" t="s">
        <v>9</v>
      </c>
    </row>
    <row r="6" spans="1:14" x14ac:dyDescent="0.2">
      <c r="A6" s="1" t="s">
        <v>3</v>
      </c>
      <c r="B6">
        <v>50.97</v>
      </c>
      <c r="C6">
        <v>49.92</v>
      </c>
      <c r="D6">
        <v>57.4</v>
      </c>
      <c r="E6">
        <v>50.71</v>
      </c>
      <c r="F6">
        <v>50.66</v>
      </c>
      <c r="L6">
        <f>AVERAGE(B6:F6)</f>
        <v>51.931999999999995</v>
      </c>
      <c r="M6">
        <f>_xlfn.VAR.P(B6:F6)</f>
        <v>7.5967759999999966</v>
      </c>
      <c r="N6">
        <f>SQRT(M6)</f>
        <v>2.7562249545347339</v>
      </c>
    </row>
    <row r="7" spans="1:14" x14ac:dyDescent="0.2">
      <c r="A7" s="1" t="s">
        <v>4</v>
      </c>
      <c r="B7">
        <v>72.5</v>
      </c>
      <c r="C7">
        <v>81.08</v>
      </c>
      <c r="D7">
        <v>101.81</v>
      </c>
      <c r="E7">
        <v>108.99</v>
      </c>
      <c r="F7">
        <v>64.61</v>
      </c>
      <c r="G7">
        <v>67.55</v>
      </c>
      <c r="H7">
        <v>71.709999999999994</v>
      </c>
      <c r="I7">
        <v>72.72</v>
      </c>
      <c r="J7">
        <v>87</v>
      </c>
      <c r="L7">
        <f>AVERAGE(B7:J7)</f>
        <v>80.885555555555555</v>
      </c>
      <c r="M7">
        <f>_xlfn.VAR.P(B7:J7)</f>
        <v>214.33686913580226</v>
      </c>
      <c r="N7">
        <f t="shared" ref="N7:N9" si="0">SQRT(M7)</f>
        <v>14.640248260729811</v>
      </c>
    </row>
    <row r="8" spans="1:14" x14ac:dyDescent="0.2">
      <c r="A8" s="1" t="s">
        <v>5</v>
      </c>
      <c r="B8">
        <v>56.03</v>
      </c>
      <c r="C8">
        <v>65.97</v>
      </c>
      <c r="D8">
        <v>49.39</v>
      </c>
      <c r="E8">
        <v>91.42</v>
      </c>
      <c r="F8">
        <v>63.4</v>
      </c>
      <c r="L8">
        <f>AVERAGE(B8:F8)</f>
        <v>65.24199999999999</v>
      </c>
      <c r="M8">
        <f>_xlfn.VAR.P(B8:F8)</f>
        <v>205.07149600000062</v>
      </c>
      <c r="N8">
        <f t="shared" si="0"/>
        <v>14.320317594243523</v>
      </c>
    </row>
    <row r="9" spans="1:14" x14ac:dyDescent="0.2">
      <c r="A9" s="1" t="s">
        <v>6</v>
      </c>
      <c r="B9">
        <v>95.44</v>
      </c>
      <c r="C9">
        <v>108.72</v>
      </c>
      <c r="D9">
        <v>104.71</v>
      </c>
      <c r="E9">
        <v>99.4</v>
      </c>
      <c r="F9">
        <v>100.07</v>
      </c>
      <c r="G9">
        <v>74.349999999999994</v>
      </c>
      <c r="H9">
        <v>64.319999999999993</v>
      </c>
      <c r="I9">
        <v>58.15</v>
      </c>
      <c r="J9">
        <v>67.209999999999994</v>
      </c>
      <c r="K9">
        <v>66.739999999999995</v>
      </c>
      <c r="L9">
        <f>AVERAGE(B9:K9)</f>
        <v>83.911000000000001</v>
      </c>
      <c r="M9">
        <f>_xlfn.VAR.P(B9:K9)</f>
        <v>339.46408899999921</v>
      </c>
      <c r="N9">
        <f t="shared" si="0"/>
        <v>18.424551256407828</v>
      </c>
    </row>
    <row r="12" spans="1:14" x14ac:dyDescent="0.2">
      <c r="A12" s="1" t="s">
        <v>10</v>
      </c>
    </row>
    <row r="13" spans="1:14" x14ac:dyDescent="0.2">
      <c r="A13" s="1" t="s">
        <v>3</v>
      </c>
      <c r="B13">
        <v>63.97</v>
      </c>
      <c r="C13">
        <v>84.15</v>
      </c>
      <c r="D13">
        <v>71.86</v>
      </c>
      <c r="E13">
        <v>62.97</v>
      </c>
      <c r="F13">
        <v>63.78</v>
      </c>
      <c r="G13">
        <v>64.2</v>
      </c>
      <c r="H13">
        <v>78.349999999999994</v>
      </c>
      <c r="I13">
        <v>60.35</v>
      </c>
      <c r="L13">
        <f>AVERAGE(B13:I13)</f>
        <v>68.703749999999999</v>
      </c>
      <c r="M13">
        <f>_xlfn.VAR.P(B13:I13)</f>
        <v>63.899398437499258</v>
      </c>
      <c r="N13">
        <f>SQRT(M13)</f>
        <v>7.9937099295320477</v>
      </c>
    </row>
    <row r="14" spans="1:14" x14ac:dyDescent="0.2">
      <c r="A14" s="1" t="s">
        <v>4</v>
      </c>
      <c r="B14">
        <v>57.6</v>
      </c>
      <c r="C14">
        <v>56.52</v>
      </c>
      <c r="D14">
        <v>53.93</v>
      </c>
      <c r="E14">
        <v>83.29</v>
      </c>
      <c r="F14">
        <v>74.48</v>
      </c>
      <c r="L14">
        <f>AVERAGE(B14:F14)</f>
        <v>65.164000000000016</v>
      </c>
      <c r="M14">
        <f>_xlfn.VAR.P(B14:F14)</f>
        <v>134.69506399999955</v>
      </c>
      <c r="N14">
        <f t="shared" ref="N14:N17" si="1">SQRT(M14)</f>
        <v>11.605820263988218</v>
      </c>
    </row>
    <row r="15" spans="1:14" x14ac:dyDescent="0.2">
      <c r="A15" s="1" t="s">
        <v>5</v>
      </c>
      <c r="B15">
        <v>64.17</v>
      </c>
      <c r="C15">
        <v>56.61</v>
      </c>
      <c r="D15">
        <v>74.84</v>
      </c>
      <c r="E15">
        <v>44.64</v>
      </c>
      <c r="F15">
        <v>57.74</v>
      </c>
      <c r="G15">
        <v>53.11</v>
      </c>
      <c r="H15">
        <v>55.8</v>
      </c>
      <c r="I15">
        <v>56.87</v>
      </c>
      <c r="J15">
        <v>55.75</v>
      </c>
      <c r="L15">
        <f>AVERAGE(B15:J15)</f>
        <v>57.725555555555552</v>
      </c>
      <c r="M15">
        <f>_xlfn.VAR.P(B15:J15)</f>
        <v>59.617491358025198</v>
      </c>
      <c r="N15">
        <f t="shared" si="1"/>
        <v>7.7212363879125734</v>
      </c>
    </row>
    <row r="16" spans="1:14" x14ac:dyDescent="0.2">
      <c r="A16" s="1" t="s">
        <v>6</v>
      </c>
      <c r="B16">
        <v>72.09</v>
      </c>
      <c r="C16">
        <v>85.28</v>
      </c>
      <c r="D16">
        <v>59.72</v>
      </c>
      <c r="L16">
        <f>AVERAGE(B16:D16)</f>
        <v>72.36333333333333</v>
      </c>
      <c r="M16">
        <f>_xlfn.VAR.P(B16:D16)</f>
        <v>108.92295555555513</v>
      </c>
      <c r="N16">
        <f t="shared" si="1"/>
        <v>10.436616096971045</v>
      </c>
    </row>
    <row r="17" spans="1:14" x14ac:dyDescent="0.2">
      <c r="A17" s="1" t="s">
        <v>11</v>
      </c>
      <c r="B17">
        <v>60.77</v>
      </c>
      <c r="C17">
        <v>54.65</v>
      </c>
      <c r="D17">
        <v>52.26</v>
      </c>
      <c r="E17">
        <v>57.7</v>
      </c>
      <c r="F17">
        <v>61.97</v>
      </c>
      <c r="G17">
        <v>50.1</v>
      </c>
      <c r="H17">
        <v>53.13</v>
      </c>
      <c r="I17">
        <v>59.63</v>
      </c>
      <c r="J17">
        <v>58.65</v>
      </c>
      <c r="L17">
        <f>AVERAGE(B17:J17)</f>
        <v>56.54</v>
      </c>
      <c r="M17">
        <f>_xlfn.VAR.P(B17:J17)</f>
        <v>15.301755555555559</v>
      </c>
      <c r="N17">
        <f t="shared" si="1"/>
        <v>3.9117458449591993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2016-03-23T16:20:37Z</dcterms:created>
  <dcterms:modified xsi:type="dcterms:W3CDTF">2016-04-04T13:38:08Z</dcterms:modified>
</cp:coreProperties>
</file>